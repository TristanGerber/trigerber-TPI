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D:\DATA\trigerber-TPI\2-Documentation\"/>
    </mc:Choice>
  </mc:AlternateContent>
  <bookViews>
    <workbookView xWindow="0" yWindow="0" windowWidth="28800" windowHeight="11700" activeTab="1"/>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workbook>
</file>

<file path=xl/calcChain.xml><?xml version="1.0" encoding="utf-8"?>
<calcChain xmlns="http://schemas.openxmlformats.org/spreadsheetml/2006/main">
  <c r="B12" i="12" l="1"/>
  <c r="C11" i="12"/>
  <c r="C10" i="12"/>
  <c r="C9" i="12"/>
  <c r="C8" i="12"/>
  <c r="B24" i="12"/>
  <c r="C23" i="12"/>
  <c r="C22" i="12"/>
  <c r="C21" i="12"/>
  <c r="C20" i="12"/>
  <c r="C19" i="12"/>
  <c r="C18" i="12"/>
  <c r="C7" i="12"/>
  <c r="C6" i="12"/>
  <c r="C5" i="12"/>
  <c r="C4" i="12"/>
  <c r="D26" i="1"/>
  <c r="C17" i="12"/>
  <c r="C16" i="12"/>
  <c r="C12" i="12"/>
  <c r="C24" i="12"/>
  <c r="B36" i="12" l="1"/>
  <c r="C35" i="12"/>
  <c r="C34" i="12"/>
  <c r="C33" i="12"/>
  <c r="C32" i="12"/>
  <c r="C31" i="12"/>
  <c r="C30" i="12"/>
  <c r="C29" i="12"/>
  <c r="C28" i="12"/>
  <c r="C36" i="12"/>
  <c r="B48" i="12" l="1"/>
  <c r="C47" i="12"/>
  <c r="C46" i="12"/>
  <c r="C45" i="12"/>
  <c r="B60" i="12"/>
  <c r="C59" i="12"/>
  <c r="C58" i="12"/>
  <c r="C57" i="12"/>
  <c r="C56" i="12"/>
  <c r="C55" i="12"/>
  <c r="C54" i="12"/>
  <c r="C44" i="12"/>
  <c r="C43" i="12"/>
  <c r="C42" i="12"/>
  <c r="C41" i="12"/>
  <c r="C40" i="12"/>
  <c r="C53" i="12"/>
  <c r="C52" i="12"/>
  <c r="C48" i="12"/>
  <c r="C60" i="12"/>
  <c r="B72" i="12" l="1"/>
  <c r="C71" i="12"/>
  <c r="C70" i="12"/>
  <c r="C69" i="12"/>
  <c r="C68" i="12"/>
  <c r="B84" i="12"/>
  <c r="C83" i="12"/>
  <c r="C82" i="12"/>
  <c r="C81" i="12"/>
  <c r="C80" i="12"/>
  <c r="C79" i="12"/>
  <c r="C67" i="12"/>
  <c r="C66" i="12"/>
  <c r="C65" i="12"/>
  <c r="C64" i="12"/>
  <c r="C72" i="12"/>
  <c r="C78" i="12"/>
  <c r="C77" i="12"/>
  <c r="C76" i="12"/>
  <c r="C84" i="12"/>
  <c r="B96" i="12" l="1"/>
  <c r="C95" i="12"/>
  <c r="C94" i="12"/>
  <c r="C93" i="12"/>
  <c r="C92" i="12"/>
  <c r="B108" i="12"/>
  <c r="C107" i="12"/>
  <c r="C106" i="12"/>
  <c r="C105" i="12"/>
  <c r="C104" i="12"/>
  <c r="B120" i="12"/>
  <c r="C119" i="12"/>
  <c r="C118" i="12"/>
  <c r="C117" i="12"/>
  <c r="C116" i="12"/>
  <c r="C115" i="12"/>
  <c r="C114" i="12"/>
  <c r="B12" i="10"/>
  <c r="C11" i="10"/>
  <c r="C10" i="10"/>
  <c r="C9" i="10"/>
  <c r="C8" i="10"/>
  <c r="B72" i="10"/>
  <c r="C71" i="10"/>
  <c r="C70" i="10"/>
  <c r="C69" i="10"/>
  <c r="C68" i="10"/>
  <c r="C67" i="10"/>
  <c r="C113" i="10"/>
  <c r="C296" i="10"/>
  <c r="C28" i="10"/>
  <c r="C294" i="10"/>
  <c r="C90" i="12"/>
  <c r="C108" i="12"/>
  <c r="C77" i="10"/>
  <c r="C6" i="10"/>
  <c r="C40" i="10"/>
  <c r="C165" i="10"/>
  <c r="C5" i="10"/>
  <c r="C185" i="10"/>
  <c r="C112" i="12"/>
  <c r="C164" i="10"/>
  <c r="C129" i="10"/>
  <c r="C4" i="10"/>
  <c r="C295" i="10"/>
  <c r="C29" i="10"/>
  <c r="C136" i="10"/>
  <c r="C41" i="10"/>
  <c r="C78" i="10"/>
  <c r="C186" i="10"/>
  <c r="C162" i="10"/>
  <c r="C100" i="12"/>
  <c r="C64" i="10"/>
  <c r="C12" i="10"/>
  <c r="C124" i="10"/>
  <c r="C65" i="10"/>
  <c r="C88" i="12"/>
  <c r="C89" i="12"/>
  <c r="C66" i="10"/>
  <c r="C91" i="12"/>
  <c r="C128" i="10"/>
  <c r="C163" i="10"/>
  <c r="C102" i="12"/>
  <c r="C76" i="10"/>
  <c r="C79" i="10"/>
  <c r="C101" i="12"/>
  <c r="C127" i="10"/>
  <c r="C113" i="12"/>
  <c r="C120" i="12"/>
  <c r="C188" i="10"/>
  <c r="C112" i="10"/>
  <c r="C72" i="10"/>
  <c r="C7" i="10"/>
  <c r="C125" i="10"/>
  <c r="C184" i="10"/>
  <c r="C126" i="10"/>
  <c r="C160" i="10"/>
  <c r="C187" i="10"/>
  <c r="C96" i="12"/>
  <c r="C137" i="10"/>
  <c r="C161" i="10"/>
  <c r="C103" i="12"/>
  <c r="B24" i="10" l="1"/>
  <c r="C23" i="10"/>
  <c r="C22" i="10"/>
  <c r="C21" i="10"/>
  <c r="C20" i="10"/>
  <c r="C19" i="10"/>
  <c r="C18" i="10"/>
  <c r="C17" i="10"/>
  <c r="B36" i="10"/>
  <c r="C35" i="10"/>
  <c r="C34" i="10"/>
  <c r="C33" i="10"/>
  <c r="C32" i="10"/>
  <c r="C31" i="10"/>
  <c r="B48" i="10"/>
  <c r="C47" i="10"/>
  <c r="C46" i="10"/>
  <c r="C45" i="10"/>
  <c r="C44" i="10"/>
  <c r="B60" i="10"/>
  <c r="C59" i="10"/>
  <c r="C58" i="10"/>
  <c r="C57" i="10"/>
  <c r="C56" i="10"/>
  <c r="C55" i="10"/>
  <c r="C54" i="10"/>
  <c r="C53" i="10"/>
  <c r="B84" i="10"/>
  <c r="C83" i="10"/>
  <c r="C82" i="10"/>
  <c r="C81" i="10"/>
  <c r="C80" i="10"/>
  <c r="B96" i="10"/>
  <c r="C95" i="10"/>
  <c r="C94" i="10"/>
  <c r="C93" i="10"/>
  <c r="C92" i="10"/>
  <c r="C91" i="10"/>
  <c r="C90" i="10"/>
  <c r="B108" i="10"/>
  <c r="C107" i="10"/>
  <c r="C106" i="10"/>
  <c r="C105" i="10"/>
  <c r="C104" i="10"/>
  <c r="B120" i="10"/>
  <c r="C119" i="10"/>
  <c r="C118" i="10"/>
  <c r="C117" i="10"/>
  <c r="C116" i="10"/>
  <c r="C115" i="10"/>
  <c r="C114" i="10"/>
  <c r="B132" i="10"/>
  <c r="C131" i="10"/>
  <c r="C130" i="10"/>
  <c r="B144" i="10"/>
  <c r="C143" i="10"/>
  <c r="C142" i="10"/>
  <c r="C141" i="10"/>
  <c r="C140" i="10"/>
  <c r="C139" i="10"/>
  <c r="C138" i="10"/>
  <c r="B156" i="10"/>
  <c r="C155" i="10"/>
  <c r="C154" i="10"/>
  <c r="C153" i="10"/>
  <c r="C152" i="10"/>
  <c r="B168" i="10"/>
  <c r="C167" i="10"/>
  <c r="C166" i="10"/>
  <c r="B180" i="10"/>
  <c r="C179" i="10"/>
  <c r="C178" i="10"/>
  <c r="C177" i="10"/>
  <c r="C176" i="10"/>
  <c r="C175" i="10"/>
  <c r="C174" i="10"/>
  <c r="B192" i="10"/>
  <c r="C191" i="10"/>
  <c r="C190" i="10"/>
  <c r="C189" i="10"/>
  <c r="B204" i="10"/>
  <c r="C203" i="10"/>
  <c r="C202" i="10"/>
  <c r="C201" i="10"/>
  <c r="C200" i="10"/>
  <c r="C199" i="10"/>
  <c r="C198" i="10"/>
  <c r="B216" i="10"/>
  <c r="C215" i="10"/>
  <c r="C214" i="10"/>
  <c r="B228" i="10"/>
  <c r="C227" i="10"/>
  <c r="C226" i="10"/>
  <c r="C225" i="10"/>
  <c r="C224" i="10"/>
  <c r="C223" i="10"/>
  <c r="B240" i="10"/>
  <c r="C239" i="10"/>
  <c r="C238" i="10"/>
  <c r="C237" i="10"/>
  <c r="C236" i="10"/>
  <c r="C235" i="10"/>
  <c r="C234" i="10"/>
  <c r="B252" i="10"/>
  <c r="C251" i="10"/>
  <c r="C250" i="10"/>
  <c r="C249" i="10"/>
  <c r="B264" i="10"/>
  <c r="C263" i="10"/>
  <c r="C262" i="10"/>
  <c r="C261" i="10"/>
  <c r="C260" i="10"/>
  <c r="B276" i="10"/>
  <c r="C275" i="10"/>
  <c r="C274" i="10"/>
  <c r="C273" i="10"/>
  <c r="C272" i="10"/>
  <c r="B288" i="10"/>
  <c r="C287" i="10"/>
  <c r="C286" i="10"/>
  <c r="C285" i="10"/>
  <c r="C284" i="10"/>
  <c r="C283" i="10"/>
  <c r="B300" i="10"/>
  <c r="C299" i="10"/>
  <c r="C298" i="10"/>
  <c r="B312" i="10"/>
  <c r="C311" i="10"/>
  <c r="C310" i="10"/>
  <c r="C309" i="10"/>
  <c r="C308" i="10"/>
  <c r="B324" i="10"/>
  <c r="C323" i="10"/>
  <c r="C322" i="10"/>
  <c r="C321" i="10"/>
  <c r="C320" i="10"/>
  <c r="C319" i="10"/>
  <c r="C318" i="10"/>
  <c r="C89" i="10"/>
  <c r="C222" i="10"/>
  <c r="C259" i="10"/>
  <c r="C258" i="10"/>
  <c r="C297" i="10"/>
  <c r="C120" i="10"/>
  <c r="C96" i="10"/>
  <c r="C228" i="10"/>
  <c r="C216" i="10"/>
  <c r="C209" i="10"/>
  <c r="C192" i="10"/>
  <c r="C288" i="10"/>
  <c r="C246" i="10"/>
  <c r="C282" i="10"/>
  <c r="C256" i="10"/>
  <c r="C270" i="10"/>
  <c r="C269" i="10"/>
  <c r="C292" i="10"/>
  <c r="C156" i="10"/>
  <c r="C101" i="10"/>
  <c r="C252" i="10"/>
  <c r="C317" i="10"/>
  <c r="C108" i="10"/>
  <c r="C293" i="10"/>
  <c r="C211" i="10"/>
  <c r="C144" i="10"/>
  <c r="C300" i="10"/>
  <c r="C221" i="10"/>
  <c r="C103" i="10"/>
  <c r="C324" i="10"/>
  <c r="C245" i="10"/>
  <c r="C43" i="10"/>
  <c r="C306" i="10"/>
  <c r="C42" i="10"/>
  <c r="C180" i="10"/>
  <c r="C84" i="10"/>
  <c r="C52" i="10"/>
  <c r="C281" i="10"/>
  <c r="C213" i="10"/>
  <c r="C264" i="10"/>
  <c r="C30" i="10"/>
  <c r="C280" i="10"/>
  <c r="C88" i="10"/>
  <c r="C16" i="10"/>
  <c r="C168" i="10"/>
  <c r="C232" i="10"/>
  <c r="C268" i="10"/>
  <c r="C172" i="10"/>
  <c r="C305" i="10"/>
  <c r="C24" i="10"/>
  <c r="C60" i="10"/>
  <c r="C304" i="10"/>
  <c r="C212" i="10"/>
  <c r="C312" i="10"/>
  <c r="C100" i="10"/>
  <c r="C149" i="10"/>
  <c r="C276" i="10"/>
  <c r="C150" i="10"/>
  <c r="C173" i="10"/>
  <c r="C208" i="10"/>
  <c r="C102" i="10"/>
  <c r="C197" i="10"/>
  <c r="C196" i="10"/>
  <c r="C210" i="10"/>
  <c r="C257" i="10"/>
  <c r="C248" i="10"/>
  <c r="C36" i="10"/>
  <c r="C307" i="10"/>
  <c r="C151" i="10"/>
  <c r="C148" i="10"/>
  <c r="C271" i="10"/>
  <c r="C204" i="10"/>
  <c r="C316" i="10"/>
  <c r="C233" i="10"/>
  <c r="C240" i="10"/>
  <c r="C48" i="10"/>
  <c r="C132" i="10"/>
  <c r="C244" i="10"/>
  <c r="C247" i="10"/>
  <c r="C220" i="10"/>
  <c r="C10" i="15" l="1"/>
  <c r="C9" i="15"/>
  <c r="C8" i="15"/>
  <c r="C7" i="15"/>
  <c r="C6" i="15"/>
  <c r="C5" i="15"/>
  <c r="C4" i="15"/>
  <c r="C3" i="15"/>
  <c r="B11" i="15"/>
  <c r="C10" i="16"/>
  <c r="C9" i="16"/>
  <c r="C8" i="16"/>
  <c r="C7" i="16"/>
  <c r="C6" i="16"/>
  <c r="C5" i="16"/>
  <c r="C4" i="16"/>
  <c r="C3" i="16"/>
  <c r="B11" i="16"/>
  <c r="C11" i="16"/>
  <c r="C11" i="15"/>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16" i="1"/>
  <c r="D28" i="1"/>
  <c r="D24" i="1"/>
  <c r="D22" i="1"/>
  <c r="D20" i="1"/>
  <c r="D18"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<sst xmlns="http://schemas.openxmlformats.org/spreadsheetml/2006/main" count="1019" uniqueCount="171">
  <si>
    <t>Module :</t>
  </si>
  <si>
    <t>Classe :</t>
  </si>
  <si>
    <t>Lieu :</t>
  </si>
  <si>
    <t>Dates :</t>
  </si>
  <si>
    <t>Tâche</t>
  </si>
  <si>
    <t>Prénom - nom :</t>
  </si>
  <si>
    <t>Tâches - objectifs</t>
  </si>
  <si>
    <t>Séquence 1</t>
  </si>
  <si>
    <t>Total planifié</t>
  </si>
  <si>
    <t>Total réalisé</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</si>
  <si>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</si>
  <si>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</si>
  <si>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</si>
  <si>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</si>
  <si>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</si>
  <si>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</si>
  <si>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</si>
  <si>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</si>
  <si>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</si>
  <si>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</si>
  <si>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</si>
  <si>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</si>
  <si>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</si>
  <si>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</si>
  <si>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</si>
  <si>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</si>
  <si>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</si>
  <si>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</si>
  <si>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</si>
  <si>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</si>
  <si>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</si>
  <si>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</si>
  <si>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</si>
  <si>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</si>
  <si>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</si>
  <si>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</si>
  <si>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</si>
  <si>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</si>
  <si>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</si>
  <si>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 xml:space="preserve">Absences - Imprévus </t>
  </si>
  <si>
    <t>Doc - Planification initiale</t>
  </si>
  <si>
    <t>Doc - Maquettes</t>
  </si>
  <si>
    <t>Dev - Base de données</t>
  </si>
  <si>
    <t>Dev - Interfaces</t>
  </si>
  <si>
    <t>Dev - Github</t>
  </si>
  <si>
    <t>TPI</t>
  </si>
  <si>
    <t>Tristan Gerber</t>
  </si>
  <si>
    <t>MID4</t>
  </si>
  <si>
    <t>ETML, N501</t>
  </si>
  <si>
    <t>Matin</t>
  </si>
  <si>
    <t>Après-midi</t>
  </si>
  <si>
    <t>Doc - Entretien avec les experts / chef de projet</t>
  </si>
  <si>
    <t>Du 02.05.2022 au 01.06.2022</t>
  </si>
  <si>
    <t>Lecture du cahier des charges avec le chef de projet et un des experts, questionnement et compréhension de celui-ci et que du déroulement du projet en général.</t>
  </si>
  <si>
    <t>Rédaction de la première partie du rapport</t>
  </si>
  <si>
    <t>Dev - Page des tâches</t>
  </si>
  <si>
    <t>Dev - ToDoList</t>
  </si>
  <si>
    <t>Dev - Général</t>
  </si>
  <si>
    <t>Conception des maquettes, de différents choix possibles</t>
  </si>
  <si>
    <t>Mise en place d'un répertoire GitHub pour la sauvegarde du projet</t>
  </si>
  <si>
    <t>Rédaction de la partie d'analyse et début de la partie de conception</t>
  </si>
  <si>
    <t>Rédaction de la partie de conception du rapport</t>
  </si>
  <si>
    <t>Doc - Base de données</t>
  </si>
  <si>
    <t>Rédaction du journal de travail</t>
  </si>
  <si>
    <t>Conception de la base de données</t>
  </si>
  <si>
    <t>Création de la structure de l'application correspondant aux normes ETML et à celles citées dans le rapport, configuration de l'environnement de programmation</t>
  </si>
  <si>
    <t>Rédaction du rapport, notamment de la réalisation, des choix effectués et des options prises dans le code</t>
  </si>
  <si>
    <t>Utilisation de GitHub</t>
  </si>
  <si>
    <t>Rédaction du journal de travail pour la journée</t>
  </si>
  <si>
    <t>Doc - Analyse</t>
  </si>
  <si>
    <t>Analyse et recherches nécessaires</t>
  </si>
  <si>
    <t>Début de la rédaction de la planification initiale</t>
  </si>
  <si>
    <t>Fin de la rédaction de la planification initiale</t>
  </si>
  <si>
    <t>Dev - Tests</t>
  </si>
  <si>
    <t>Création des maquettes finales</t>
  </si>
  <si>
    <t>Rédaction du rapport sur le fonctionnement et la structure des bases de données de l'application</t>
  </si>
  <si>
    <t>Entretien avec M. Ferrari pour répondre à des questions et vérifier l'avancement du projet</t>
  </si>
  <si>
    <t>Utilisation de Github</t>
  </si>
  <si>
    <t>Implémentation de la base de données dans l'application à l'aide de SQLite</t>
  </si>
  <si>
    <t>Rédaction de la partie du rapport concernant la réalisation de la page des tâches</t>
  </si>
  <si>
    <t>Apprentissage de SQLite</t>
  </si>
  <si>
    <t>Réalisation de la page affichant toutes les tâches</t>
  </si>
  <si>
    <t>Réalisation de l'interface de la page affichant toutes les tâches</t>
  </si>
  <si>
    <t>Finalisation de la réalisation de la page affichant toutes les tâches</t>
  </si>
  <si>
    <t>Finalisation de la réalisation de l'interface de la page affichant toutes les tâches</t>
  </si>
  <si>
    <t>Réalisation de la page de ToDoList</t>
  </si>
  <si>
    <t>Réalisation de l'interface de la page de ToDoList</t>
  </si>
  <si>
    <t>Rédaction de la partie du rapport concernant la réalisation de la page de ToDoList</t>
  </si>
  <si>
    <t>Finalisation de la réalisation de la page de ToDoList</t>
  </si>
  <si>
    <t>Finalisation de la réalisation de l'interface de la page de ToDoList</t>
  </si>
  <si>
    <t>Rédaction de la partie du rapport sur le fonctionnement et l'implémentation des tests, définition des différents tests à réaliser</t>
  </si>
  <si>
    <t>Test des différentes fonctionnalités suivant les tests écrits auparavant dans le rapport</t>
  </si>
  <si>
    <t>Correction des potentielles erreurs liées aux tests</t>
  </si>
  <si>
    <t>Développement général, amélioration du code</t>
  </si>
  <si>
    <t>Amélioration de l'interface générale de l'application</t>
  </si>
  <si>
    <t>Rédaction du rapport, notamment de la réalisation et la conclusion</t>
  </si>
  <si>
    <t>Doc - Général</t>
  </si>
  <si>
    <t>Finalisation du projet</t>
  </si>
  <si>
    <t>mercredi, 1 juin 2022</t>
  </si>
  <si>
    <t>lundi, 30 mai 2022</t>
  </si>
  <si>
    <t>mercredi, 25 mai 2022</t>
  </si>
  <si>
    <t>Séquence 23</t>
  </si>
  <si>
    <t>Séquence 22</t>
  </si>
  <si>
    <t>lundi, 23 mai 2022</t>
  </si>
  <si>
    <t>Séquence 21</t>
  </si>
  <si>
    <t>vendredi, 20 mai 2022</t>
  </si>
  <si>
    <t>Séquence 20</t>
  </si>
  <si>
    <t>Séquence 19</t>
  </si>
  <si>
    <t>jeudi, 19 mai 2022</t>
  </si>
  <si>
    <t>Séquence 18</t>
  </si>
  <si>
    <t>Séquence 17</t>
  </si>
  <si>
    <t>mercredi, 18 mai 2022</t>
  </si>
  <si>
    <t>Séquence 16</t>
  </si>
  <si>
    <t>Séquence 15</t>
  </si>
  <si>
    <t>lundi, 16 mai 2022</t>
  </si>
  <si>
    <t>Séquence 14</t>
  </si>
  <si>
    <t>vendredi, 13 mai 2022</t>
  </si>
  <si>
    <t>Séquence 13</t>
  </si>
  <si>
    <t>Séquence 12</t>
  </si>
  <si>
    <t>jeudi, 12 mai 2022</t>
  </si>
  <si>
    <t>Séquence 11</t>
  </si>
  <si>
    <t>Séquence 10</t>
  </si>
  <si>
    <t>mercredi, 11 mai 2022</t>
  </si>
  <si>
    <t>Séquence 9</t>
  </si>
  <si>
    <t>Séquence 8</t>
  </si>
  <si>
    <t>lundi, 9 mai 2022</t>
  </si>
  <si>
    <t>Séquence 7</t>
  </si>
  <si>
    <t>vendredi, 6 mai 2022</t>
  </si>
  <si>
    <t>Séquence 6</t>
  </si>
  <si>
    <t>Séquence 5</t>
  </si>
  <si>
    <t>jeudi, 5 mai 2022</t>
  </si>
  <si>
    <t>Séquence 4</t>
  </si>
  <si>
    <t>mercredi, 4 mai 2022</t>
  </si>
  <si>
    <t>lundi, 2 mai 2022</t>
  </si>
  <si>
    <t>Séquence 27</t>
  </si>
  <si>
    <t>Séquence 26</t>
  </si>
  <si>
    <t>Séquence 25</t>
  </si>
  <si>
    <t>Séquence 24</t>
  </si>
  <si>
    <t>89h20min</t>
  </si>
  <si>
    <t>Rédaction initiale du rapport : Structure, spécifications, analyse
Le rapport est repris du dernier rapport fait durant le projet P_APPRO, étant donné la ressemblance du projet avec celui réalisé en ce moment.</t>
  </si>
  <si>
    <t>Recherches sur mon choix pour le système de stockage, le système de tests, sur le fonctionnement de l'application.</t>
  </si>
  <si>
    <t>Rédaction de la partie d'analyse et début</t>
  </si>
  <si>
    <t>Rédaction de la partie d'analyse et structure générale du rapport</t>
  </si>
  <si>
    <t>Rédaction du journal de travail de mercredi et lundi</t>
  </si>
  <si>
    <t>Entretien avec M. Ferrari : Présentation de la maquette choisie, du fonctionnement de l'application, du système de stockage de données choisi (SQLite), Du système de testing (Tests manuels prédéfinits au lieu de UI Testing car jugé inadapté à l'ampleur du projet)</t>
  </si>
  <si>
    <t>Installation de DB_Main afin de modéliser la base de donnée. Mauvaise installation : installation de DB_Main situé sur le K:/, serveur de l'ETML. La version nécessitait une license, et après configuration et installation de la license, celle-ci était échue. DB_Main est en fait maintenant gratuit, il faut donc le télécharger sur internet. Un guide d'installation a également été réalisé, ce qui a pu rallonger le temps d'installation. Finalement, la base de données est modélisée sur papier. Elle est très simple et consiste en uniquement deux tables, catégories et tâches.</t>
  </si>
  <si>
    <t xml:space="preserve">Quelques modifications et réflexions sont faites sur la maquette déjà créée, notamment sur les menus des tâches. </t>
  </si>
  <si>
    <t>Création d'un projet en Xamarin, basé sur le template "À onglets" proposé par Visual Studio. Ambiguité de renommage avec une classe que j'ai nommée "Task", qui est déjà un Type à part --&gt; Re-création du projet et renommage de Task en TaskModel. Création de la structure de base du programme, des pages ToDoList et Tâches, ainsi que la navigation entre celles-ci. Mise en place des entêtes de code et du nommage correspondant aux normes citées dans mon rapport. Création et mise en lien des Modèles, des Services, des ViewModels et des VIews.</t>
  </si>
  <si>
    <t>Recherches sur des possibilités afin de créer une tâche ou une catégorie. Choix : Rg.Plugins.Popup. Je préfère avoir des popups pour gérer une tâche que d'avoir une nouvelle page. Recherches sur Rg Popups et apprentissage desbases (comment setup le plugin, comment ouvrir un popup, la navigation entre popups, ...)</t>
  </si>
  <si>
    <t>Utilisation de github pour le push journalier</t>
  </si>
  <si>
    <t>Rédaction du journal de travail de la journée</t>
  </si>
  <si>
    <t>Rédaction du rapport, notamment sur les maquettes</t>
  </si>
  <si>
    <t>Réflexions et ajouts sur les maquettes, notamment sur les menus des catégories et des tâches</t>
  </si>
  <si>
    <t>https://docs.microsoft.com/en-us/xamarin/android/data-cloud/data-access/using-sqlite-orm</t>
  </si>
  <si>
    <t xml:space="preserve">Modélisation du MCD, MLD, MPD de la base de données, Utilisation de SQLiteStudio pour créer le MPD et remplir la base de données de données. Découverte de SQLite dans Xamarin. Utilisation du NuGet sqlite-net-pcl, </t>
  </si>
  <si>
    <t>Rédaction du rapport, notamment sur les maquettes, le fonctionnement de l'application, la navigation et l'analyse &amp; conception des tests</t>
  </si>
  <si>
    <t>Entretien avec M. Ferrari : Clarifications sur les maquettes, Discussion à propos de SQLite et de son fonctionnement</t>
  </si>
  <si>
    <t>Entretien avec M. Ferrari et M. Brandenberg : lecture du cahier des charges et questionnement sur le déroulement du projet</t>
  </si>
  <si>
    <t>https://docs.microsoft.com/en-us/xamarin/get-started/quickstarts/database?pivots=windows</t>
  </si>
  <si>
    <t>Implémentation de la base de données SQLite dans l'application. Changement de la structure du code : Une interface était mise en place, mais elle n'acceptait qu'un type par utilisation de l'interface. Une base de données devait être faite, consistant de multiples types. L'interface a donc été supprimée.</t>
  </si>
  <si>
    <t xml:space="preserve">Code de la struture générale afin de pouvoir ajouter, supprimer ou modifier une tâche. Problème avec les types de pages, l'utilisation de méthodes dans la sous-page de xaml et dans le ViewModel. Décision d'implémenter les pop-ups plus tard, car jugés trop compliqués à mettre en place, et pourraient trop retarder le projet. Pour l'instant, le fonctionnement de l'application sera une priorité. Beaucoup de recherches pour SQLite sont difficiles à implémenter dans le modèle MVVC, je dois comprendre tout le code et le modifier avant de l'implémenter. </t>
  </si>
  <si>
    <t>https://stackoverflow.com/questions/39384263/adding-a-button-to-the-title-bar-xamarin-forms</t>
  </si>
  <si>
    <t>Restructuration du code qui s'est éparpillé dans des Views dans les ViewModels, débloquage du projet : ajout d'un bouton dans le menu de l'application --&gt; ouverture du pop-up, réussite de l'ouverture d'un pop-up. Expérimentations sur les pop-ups, qui marchent sur les deux différentes pages</t>
  </si>
  <si>
    <t>Entretien avec M. Ferrari afin de parler de l'avancement du projet :</t>
  </si>
  <si>
    <t xml:space="preserve">https://www.c-sharpcorner.com/article/rg-popup-in-xamarin-forms-using-fresh-mvvm/
</t>
  </si>
  <si>
    <t>https://github.com/rotorgames/Rg.Plugins.Popup/wiki/Getting-started</t>
  </si>
  <si>
    <t>https://github.com/rotorgames/Rg.Plugins.Popup/wiki/PopupPage</t>
  </si>
  <si>
    <t>https://devblogs.microsoft.com/appcenter/testing-xamarin-applications-with-visual-studio-app-center/</t>
  </si>
  <si>
    <t>https://openclassrooms.com/fr/courses/4568746-gerez-vos-donnees-localement-pour-avoir-une-application-100-hors-ligne/4568753-comprenez-les-differents-moyens-de-stocker-des-donnees-sur-android</t>
  </si>
  <si>
    <t>31h25min</t>
  </si>
  <si>
    <t>- 57h55min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</si>
</sst>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43">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0" fillId="0" borderId="1" xfId="1" applyFont="1" applyFill="1" applyBorder="1" applyAlignment="1" applyProtection="1">
      <alignment horizontal="center" vertical="center" wrapText="1"/>
      <protection locked="0"/>
    </xf>
    <xf numFmtId="0" fontId="0" fillId="0" borderId="2" xfId="1" applyFont="1" applyFill="1" applyBorder="1" applyAlignment="1" applyProtection="1">
      <alignment horizontal="center" vertical="center" wrapText="1"/>
      <protection locked="0"/>
    </xf>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7" borderId="78" xfId="0" applyFont="1" applyFill="1" applyBorder="1"/>
    <xf numFmtId="0" fontId="2" fillId="17" borderId="22" xfId="0" applyFont="1" applyFill="1" applyBorder="1"/>
    <xf numFmtId="0" fontId="2" fillId="17" borderId="57" xfId="0" applyFont="1" applyFill="1" applyBorder="1"/>
    <xf numFmtId="0" fontId="2" fillId="17" borderId="55" xfId="0" applyFont="1" applyFill="1" applyBorder="1"/>
    <xf numFmtId="0" fontId="2" fillId="17" borderId="80" xfId="0" applyFont="1" applyFill="1" applyBorder="1"/>
    <xf numFmtId="0" fontId="2" fillId="17" borderId="21" xfId="0" applyFont="1" applyFill="1" applyBorder="1" applyProtection="1"/>
    <xf numFmtId="0" fontId="2" fillId="17" borderId="22" xfId="0" applyFont="1" applyFill="1" applyBorder="1" applyProtection="1"/>
    <xf numFmtId="0" fontId="2" fillId="17" borderId="75" xfId="0" applyFont="1" applyFill="1" applyBorder="1"/>
    <xf numFmtId="2" fontId="12" fillId="18" borderId="63" xfId="0" applyNumberFormat="1" applyFont="1" applyFill="1" applyBorder="1" applyAlignment="1">
      <alignment horizontal="center" vertical="center"/>
    </xf>
    <xf numFmtId="0" fontId="2" fillId="19" borderId="27" xfId="0" applyFont="1" applyFill="1" applyBorder="1" applyProtection="1"/>
    <xf numFmtId="0" fontId="2" fillId="19" borderId="28" xfId="0" applyFont="1" applyFill="1" applyBorder="1" applyProtection="1"/>
    <xf numFmtId="0" fontId="2" fillId="19" borderId="28" xfId="0" applyFont="1" applyFill="1" applyBorder="1"/>
    <xf numFmtId="0" fontId="2" fillId="19" borderId="74" xfId="0" applyFont="1" applyFill="1" applyBorder="1"/>
    <xf numFmtId="0" fontId="2" fillId="19" borderId="79" xfId="0" applyFont="1" applyFill="1" applyBorder="1"/>
    <xf numFmtId="0" fontId="2" fillId="19" borderId="56" xfId="0" applyFont="1" applyFill="1" applyBorder="1"/>
    <xf numFmtId="0" fontId="2" fillId="19" borderId="19" xfId="0" applyFont="1" applyFill="1" applyBorder="1"/>
    <xf numFmtId="0" fontId="2" fillId="19" borderId="77" xfId="0" applyFont="1" applyFill="1" applyBorder="1"/>
    <xf numFmtId="0" fontId="2" fillId="19" borderId="18" xfId="0" applyFont="1" applyFill="1" applyBorder="1" applyProtection="1"/>
    <xf numFmtId="0" fontId="2" fillId="19" borderId="19" xfId="0" applyFont="1" applyFill="1" applyBorder="1" applyProtection="1"/>
    <xf numFmtId="0" fontId="2" fillId="19" borderId="72" xfId="0" applyFont="1" applyFill="1" applyBorder="1"/>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32" xfId="1" applyFill="1" applyBorder="1" applyAlignment="1" applyProtection="1">
      <alignment horizontal="center" vertical="top" wrapText="1"/>
      <protection locked="0"/>
    </xf>
    <xf numFmtId="0" fontId="1" fillId="0" borderId="33"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3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Lit>
              <c:ptCount val="17"/>
              <c:pt idx="0">
                <c:v>Absences - Imprévus </c:v>
              </c:pt>
              <c:pt idx="1">
                <c:v>Doc - Planification initiale</c:v>
              </c:pt>
              <c:pt idx="2">
                <c:v>Doc - Journal de travail</c:v>
              </c:pt>
              <c:pt idx="3">
                <c:v>Doc - Rapport</c:v>
              </c:pt>
              <c:pt idx="4">
                <c:v>Doc - Maquettes</c:v>
              </c:pt>
              <c:pt idx="5">
                <c:v>Doc - Entretien avec les experts / chef de projet</c:v>
              </c:pt>
              <c:pt idx="6">
                <c:v>Doc - Base de données</c:v>
              </c:pt>
              <c:pt idx="7">
                <c:v>Doc - Analyse</c:v>
              </c:pt>
              <c:pt idx="8">
                <c:v>Doc - Général</c:v>
              </c:pt>
              <c:pt idx="9">
                <c:v>Dev - Page des tâches</c:v>
              </c:pt>
              <c:pt idx="10">
                <c:v>Dev - ToDoList</c:v>
              </c:pt>
              <c:pt idx="11">
                <c:v>Dev - Général</c:v>
              </c:pt>
              <c:pt idx="12">
                <c:v>Dev - Interfaces</c:v>
              </c:pt>
              <c:pt idx="13">
                <c:v>Dev - Github</c:v>
              </c:pt>
              <c:pt idx="14">
                <c:v>Dev - Tests</c:v>
              </c:pt>
              <c:pt idx="15">
                <c:v>Dev - Base de données</c:v>
              </c:pt>
            </c:strLit>
          </c:cat>
          <c:val>
            <c:numLit>
              <c:formatCode>General</c:formatCode>
              <c:ptCount val="17"/>
              <c:pt idx="0">
                <c:v>0</c:v>
              </c:pt>
              <c:pt idx="1">
                <c:v>1.5</c:v>
              </c:pt>
              <c:pt idx="2">
                <c:v>4.1700000762939453</c:v>
              </c:pt>
              <c:pt idx="3">
                <c:v>18.670000076293945</c:v>
              </c:pt>
              <c:pt idx="4">
                <c:v>1.6699999570846558</c:v>
              </c:pt>
              <c:pt idx="5">
                <c:v>4.25</c:v>
              </c:pt>
              <c:pt idx="6">
                <c:v>2.5</c:v>
              </c:pt>
              <c:pt idx="7">
                <c:v>1.5</c:v>
              </c:pt>
              <c:pt idx="8">
                <c:v>6</c:v>
              </c:pt>
              <c:pt idx="9">
                <c:v>7.6700000762939453</c:v>
              </c:pt>
              <c:pt idx="10">
                <c:v>9</c:v>
              </c:pt>
              <c:pt idx="11">
                <c:v>11.079999923706055</c:v>
              </c:pt>
              <c:pt idx="12">
                <c:v>10.829999923706055</c:v>
              </c:pt>
              <c:pt idx="13">
                <c:v>1.5</c:v>
              </c:pt>
              <c:pt idx="14">
                <c:v>3.75</c:v>
              </c:pt>
              <c:pt idx="15">
                <c:v>5.25</c:v>
              </c:pt>
              <c:pt idx="16">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7"/>
              <c:pt idx="0">
                <c:v>0</c:v>
              </c:pt>
              <c:pt idx="1">
                <c:v>1.5</c:v>
              </c:pt>
              <c:pt idx="2">
                <c:v>1.5</c:v>
              </c:pt>
              <c:pt idx="3">
                <c:v>6.3299999237060547</c:v>
              </c:pt>
              <c:pt idx="4">
                <c:v>2.0799999237060547</c:v>
              </c:pt>
              <c:pt idx="5">
                <c:v>2.3299999237060547</c:v>
              </c:pt>
              <c:pt idx="6">
                <c:v>0.82999998331069946</c:v>
              </c:pt>
              <c:pt idx="7">
                <c:v>1.5</c:v>
              </c:pt>
              <c:pt idx="8">
                <c:v>0</c:v>
              </c:pt>
              <c:pt idx="9">
                <c:v>0</c:v>
              </c:pt>
              <c:pt idx="10">
                <c:v>0</c:v>
              </c:pt>
              <c:pt idx="11">
                <c:v>10.420000076293945</c:v>
              </c:pt>
              <c:pt idx="12">
                <c:v>0</c:v>
              </c:pt>
              <c:pt idx="13">
                <c:v>0.25</c:v>
              </c:pt>
              <c:pt idx="14">
                <c:v>0</c:v>
              </c:pt>
              <c:pt idx="15">
                <c:v>4.6700000762939453</c:v>
              </c:pt>
              <c:pt idx="16">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xdr:cNvGrpSpPr/>
      </xdr:nvGrpSpPr>
      <xdr:grpSpPr>
        <a:xfrm>
          <a:off x="9552214" y="197069"/>
          <a:ext cx="1333500" cy="396015"/>
          <a:chOff x="8666811" y="197069"/>
          <a:chExt cx="1285641" cy="400707"/>
        </a:xfrm>
      </xdr:grpSpPr>
      <xdr:cxnSp macro="">
        <xdr:nvCxnSpPr>
          <xdr:cNvPr id="7" name="Connecteur droit 6"/>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xdr:cNvGrpSpPr/>
      </xdr:nvGrpSpPr>
      <xdr:grpSpPr>
        <a:xfrm>
          <a:off x="10800526" y="91109"/>
          <a:ext cx="2496792" cy="537541"/>
          <a:chOff x="9351065" y="91109"/>
          <a:chExt cx="1813891" cy="538369"/>
        </a:xfrm>
      </xdr:grpSpPr>
      <xdr:sp macro="" textlink="">
        <xdr:nvSpPr>
          <xdr:cNvPr id="5" name="ZoneTexte 4"/>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hyperlink" Target="https://devblogs.microsoft.com/appcenter/testing-xamarin-applications-with-visual-studio-app-center/" TargetMode="External"/><Relationship Id="rId13" Type="http://schemas.openxmlformats.org/officeDocument/2006/relationships/control" Target="../activeX/activeX4.xml"/><Relationship Id="rId3" Type="http://schemas.openxmlformats.org/officeDocument/2006/relationships/hyperlink" Target="https://stackoverflow.com/questions/39384263/adding-a-button-to-the-title-bar-xamarin-forms" TargetMode="External"/><Relationship Id="rId7" Type="http://schemas.openxmlformats.org/officeDocument/2006/relationships/hyperlink" Target="https://github.com/rotorgames/Rg.Plugins.Popup/wiki/PopupPage" TargetMode="External"/><Relationship Id="rId12" Type="http://schemas.openxmlformats.org/officeDocument/2006/relationships/vmlDrawing" Target="../drawings/vmlDrawing3.vml"/><Relationship Id="rId2" Type="http://schemas.openxmlformats.org/officeDocument/2006/relationships/hyperlink" Target="https://docs.microsoft.com/en-us/xamarin/get-started/quickstarts/database?pivots=windows" TargetMode="External"/><Relationship Id="rId16" Type="http://schemas.openxmlformats.org/officeDocument/2006/relationships/image" Target="../media/image6.emf"/><Relationship Id="rId1" Type="http://schemas.openxmlformats.org/officeDocument/2006/relationships/hyperlink" Target="https://docs.microsoft.com/en-us/xamarin/android/data-cloud/data-access/using-sqlite-orm" TargetMode="External"/><Relationship Id="rId6" Type="http://schemas.openxmlformats.org/officeDocument/2006/relationships/hyperlink" Target="https://github.com/rotorgames/Rg.Plugins.Popup/wiki/PopupPage" TargetMode="External"/><Relationship Id="rId11" Type="http://schemas.openxmlformats.org/officeDocument/2006/relationships/drawing" Target="../drawings/drawing4.xml"/><Relationship Id="rId5" Type="http://schemas.openxmlformats.org/officeDocument/2006/relationships/hyperlink" Target="https://github.com/rotorgames/Rg.Plugins.Popup/wiki/Getting-started" TargetMode="External"/><Relationship Id="rId15" Type="http://schemas.openxmlformats.org/officeDocument/2006/relationships/control" Target="../activeX/activeX5.xml"/><Relationship Id="rId10" Type="http://schemas.openxmlformats.org/officeDocument/2006/relationships/printerSettings" Target="../printerSettings/printerSettings4.bin"/><Relationship Id="rId4" Type="http://schemas.openxmlformats.org/officeDocument/2006/relationships/hyperlink" Target="https://www.c-sharpcorner.com/article/rg-popup-in-xamarin-forms-using-fresh-mvvm/" TargetMode="External"/><Relationship Id="rId9" Type="http://schemas.openxmlformats.org/officeDocument/2006/relationships/hyperlink" Target="https://openclassrooms.com/fr/courses/4568746-gerez-vos-donnees-localement-pour-avoir-une-application-100-hors-ligne/4568753-comprenez-les-differents-moyens-de-stocker-des-donnees-sur-android" TargetMode="External"/><Relationship Id="rId14" Type="http://schemas.openxmlformats.org/officeDocument/2006/relationships/image" Target="../media/image5.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workbookViewId="0">
      <selection activeCell="G38" sqref="G38"/>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93" t="s">
        <v>30</v>
      </c>
      <c r="C35" s="193"/>
      <c r="D35" s="193"/>
      <c r="E35" s="107" t="s">
        <v>138</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94" t="s">
        <v>31</v>
      </c>
      <c r="C37" s="194"/>
      <c r="D37" s="194"/>
      <c r="E37" s="109" t="s">
        <v>169</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28</v>
      </c>
      <c r="E39" s="181" t="s">
        <v>170</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BJN99"/>
  <sheetViews>
    <sheetView showGridLines="0" tabSelected="1" topLeftCell="A10" zoomScale="70" zoomScaleNormal="70" zoomScaleSheetLayoutView="43" workbookViewId="0">
      <selection activeCell="F94" sqref="F94:BJM94"/>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625" width="1.140625" style="3" customWidth="1"/>
    <col min="1626" max="1626" width="2.7109375" style="3" customWidth="1"/>
    <col min="1627" max="16384" width="11.42578125" style="3"/>
  </cols>
  <sheetData>
    <row r="1" spans="1:1626" ht="35.1" customHeight="1" x14ac:dyDescent="0.25">
      <c r="B1" s="95"/>
      <c r="C1" s="205" t="s">
        <v>29</v>
      </c>
      <c r="D1" s="205"/>
      <c r="E1" s="205"/>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87"/>
      <c r="BHG1" s="87"/>
      <c r="BHH1" s="87"/>
      <c r="BHI1" s="87"/>
      <c r="BHJ1" s="87"/>
      <c r="BHK1" s="87"/>
      <c r="BHL1" s="87"/>
      <c r="BHM1" s="87"/>
      <c r="BHN1" s="87"/>
      <c r="BHO1" s="87"/>
      <c r="BHP1" s="87"/>
      <c r="BHQ1" s="87"/>
      <c r="BHR1" s="87"/>
      <c r="BHS1" s="87"/>
      <c r="BHT1" s="87"/>
      <c r="BHU1" s="87"/>
      <c r="BHV1" s="87"/>
      <c r="BHW1" s="87"/>
      <c r="BHX1" s="87"/>
      <c r="BHY1" s="87"/>
      <c r="BHZ1" s="87"/>
      <c r="BIA1" s="87"/>
      <c r="BIB1" s="87"/>
      <c r="BIC1" s="87"/>
      <c r="BID1" s="87"/>
      <c r="BIE1" s="87"/>
      <c r="BIF1" s="87"/>
      <c r="BIG1" s="87"/>
      <c r="BIH1" s="87"/>
      <c r="BII1" s="87"/>
      <c r="BIJ1" s="87"/>
      <c r="BIK1" s="87"/>
      <c r="BIL1" s="87"/>
      <c r="BIM1" s="87"/>
      <c r="BIN1" s="87"/>
      <c r="BIO1" s="87"/>
      <c r="BIP1" s="87"/>
      <c r="BIQ1" s="87"/>
      <c r="BIR1" s="87"/>
      <c r="BIS1" s="87"/>
      <c r="BIT1" s="87"/>
      <c r="BIU1" s="87"/>
      <c r="BIV1" s="87"/>
      <c r="BIW1" s="87"/>
      <c r="BIX1" s="87"/>
      <c r="BIY1" s="87"/>
      <c r="BIZ1" s="87"/>
      <c r="BJA1" s="87"/>
      <c r="BJB1" s="87"/>
      <c r="BJC1" s="87"/>
      <c r="BJD1" s="87"/>
      <c r="BJE1" s="87"/>
      <c r="BJF1" s="87"/>
      <c r="BJG1" s="87"/>
      <c r="BJH1" s="87"/>
      <c r="BJI1" s="87"/>
      <c r="BJJ1" s="87"/>
      <c r="BJK1" s="87"/>
      <c r="BJL1" s="87"/>
      <c r="BJM1" s="87"/>
      <c r="BJN1" s="93">
        <v>1</v>
      </c>
    </row>
    <row r="2" spans="1:162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88"/>
      <c r="BHG2" s="88"/>
      <c r="BHH2" s="88"/>
      <c r="BHI2" s="88"/>
      <c r="BHJ2" s="88"/>
      <c r="BHK2" s="88"/>
      <c r="BHL2" s="88"/>
      <c r="BHM2" s="88"/>
      <c r="BHN2" s="88"/>
      <c r="BHO2" s="88"/>
      <c r="BHP2" s="88"/>
      <c r="BHQ2" s="88"/>
      <c r="BHR2" s="88"/>
      <c r="BHS2" s="88"/>
      <c r="BHT2" s="88"/>
      <c r="BHU2" s="88"/>
      <c r="BHV2" s="88"/>
      <c r="BHW2" s="88"/>
      <c r="BHX2" s="88"/>
      <c r="BHY2" s="88"/>
      <c r="BHZ2" s="88"/>
      <c r="BIA2" s="88"/>
      <c r="BIB2" s="88"/>
      <c r="BIC2" s="88"/>
      <c r="BID2" s="88"/>
      <c r="BIE2" s="88"/>
      <c r="BIF2" s="88"/>
      <c r="BIG2" s="88"/>
      <c r="BIH2" s="88"/>
      <c r="BII2" s="88"/>
      <c r="BIJ2" s="88"/>
      <c r="BIK2" s="88"/>
      <c r="BIL2" s="88"/>
      <c r="BIM2" s="88"/>
      <c r="BIN2" s="88"/>
      <c r="BIO2" s="88"/>
      <c r="BIP2" s="88"/>
      <c r="BIQ2" s="88"/>
      <c r="BIR2" s="88"/>
      <c r="BIS2" s="88"/>
      <c r="BIT2" s="88"/>
      <c r="BIU2" s="88"/>
      <c r="BIV2" s="88"/>
      <c r="BIW2" s="88"/>
      <c r="BIX2" s="88"/>
      <c r="BIY2" s="88"/>
      <c r="BIZ2" s="88"/>
      <c r="BJA2" s="88"/>
      <c r="BJB2" s="88"/>
      <c r="BJC2" s="88"/>
      <c r="BJD2" s="88"/>
      <c r="BJE2" s="88"/>
      <c r="BJF2" s="88"/>
      <c r="BJG2" s="88"/>
      <c r="BJH2" s="88"/>
      <c r="BJI2" s="88"/>
      <c r="BJJ2" s="88"/>
      <c r="BJK2" s="88"/>
      <c r="BJL2" s="88"/>
      <c r="BJM2" s="88"/>
      <c r="BJN2" s="90"/>
    </row>
    <row r="3" spans="1:1626" ht="30" customHeight="1" x14ac:dyDescent="0.25">
      <c r="B3" s="96"/>
      <c r="C3" s="7" t="s">
        <v>0</v>
      </c>
      <c r="D3" s="140"/>
      <c r="E3" s="8" t="s">
        <v>45</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88"/>
      <c r="BHG3" s="88"/>
      <c r="BHH3" s="88"/>
      <c r="BHI3" s="88"/>
      <c r="BHJ3" s="88"/>
      <c r="BHK3" s="88"/>
      <c r="BHL3" s="88"/>
      <c r="BHM3" s="88"/>
      <c r="BHN3" s="88"/>
      <c r="BHO3" s="88"/>
      <c r="BHP3" s="88"/>
      <c r="BHQ3" s="88"/>
      <c r="BHR3" s="88"/>
      <c r="BHS3" s="88"/>
      <c r="BHT3" s="88"/>
      <c r="BHU3" s="88"/>
      <c r="BHV3" s="88"/>
      <c r="BHW3" s="88"/>
      <c r="BHX3" s="88"/>
      <c r="BHY3" s="88"/>
      <c r="BHZ3" s="88"/>
      <c r="BIA3" s="88"/>
      <c r="BIB3" s="88"/>
      <c r="BIC3" s="88"/>
      <c r="BID3" s="88"/>
      <c r="BIE3" s="88"/>
      <c r="BIF3" s="88"/>
      <c r="BIG3" s="88"/>
      <c r="BIH3" s="88"/>
      <c r="BII3" s="88"/>
      <c r="BIJ3" s="88"/>
      <c r="BIK3" s="88"/>
      <c r="BIL3" s="88"/>
      <c r="BIM3" s="88"/>
      <c r="BIN3" s="88"/>
      <c r="BIO3" s="88"/>
      <c r="BIP3" s="88"/>
      <c r="BIQ3" s="88"/>
      <c r="BIR3" s="88"/>
      <c r="BIS3" s="88"/>
      <c r="BIT3" s="88"/>
      <c r="BIU3" s="88"/>
      <c r="BIV3" s="88"/>
      <c r="BIW3" s="88"/>
      <c r="BIX3" s="88"/>
      <c r="BIY3" s="88"/>
      <c r="BIZ3" s="88"/>
      <c r="BJA3" s="88"/>
      <c r="BJB3" s="88"/>
      <c r="BJC3" s="88"/>
      <c r="BJD3" s="88"/>
      <c r="BJE3" s="88"/>
      <c r="BJF3" s="88"/>
      <c r="BJG3" s="88"/>
      <c r="BJH3" s="88"/>
      <c r="BJI3" s="88"/>
      <c r="BJJ3" s="88"/>
      <c r="BJK3" s="88"/>
      <c r="BJL3" s="88"/>
      <c r="BJM3" s="88"/>
      <c r="BJN3" s="90"/>
    </row>
    <row r="4" spans="1:1626" ht="30" customHeight="1" x14ac:dyDescent="0.25">
      <c r="B4" s="96"/>
      <c r="C4" s="12" t="s">
        <v>5</v>
      </c>
      <c r="D4" s="141"/>
      <c r="E4" s="13" t="s">
        <v>46</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88"/>
      <c r="BHG4" s="88"/>
      <c r="BHH4" s="88"/>
      <c r="BHI4" s="88"/>
      <c r="BHJ4" s="88"/>
      <c r="BHK4" s="88"/>
      <c r="BHL4" s="88"/>
      <c r="BHM4" s="88"/>
      <c r="BHN4" s="88"/>
      <c r="BHO4" s="88"/>
      <c r="BHP4" s="88"/>
      <c r="BHQ4" s="88"/>
      <c r="BHR4" s="88"/>
      <c r="BHS4" s="88"/>
      <c r="BHT4" s="88"/>
      <c r="BHU4" s="88"/>
      <c r="BHV4" s="88"/>
      <c r="BHW4" s="88"/>
      <c r="BHX4" s="88"/>
      <c r="BHY4" s="88"/>
      <c r="BHZ4" s="88"/>
      <c r="BIA4" s="88"/>
      <c r="BIB4" s="88"/>
      <c r="BIC4" s="88"/>
      <c r="BID4" s="88"/>
      <c r="BIE4" s="88"/>
      <c r="BIF4" s="88"/>
      <c r="BIG4" s="88"/>
      <c r="BIH4" s="88"/>
      <c r="BII4" s="88"/>
      <c r="BIJ4" s="88"/>
      <c r="BIK4" s="88"/>
      <c r="BIL4" s="88"/>
      <c r="BIM4" s="88"/>
      <c r="BIN4" s="88"/>
      <c r="BIO4" s="88"/>
      <c r="BIP4" s="88"/>
      <c r="BIQ4" s="88"/>
      <c r="BIR4" s="88"/>
      <c r="BIS4" s="88"/>
      <c r="BIT4" s="88"/>
      <c r="BIU4" s="88"/>
      <c r="BIV4" s="88"/>
      <c r="BIW4" s="88"/>
      <c r="BIX4" s="88"/>
      <c r="BIY4" s="88"/>
      <c r="BIZ4" s="88"/>
      <c r="BJA4" s="88"/>
      <c r="BJB4" s="88"/>
      <c r="BJC4" s="88"/>
      <c r="BJD4" s="88"/>
      <c r="BJE4" s="88"/>
      <c r="BJF4" s="88"/>
      <c r="BJG4" s="88"/>
      <c r="BJH4" s="88"/>
      <c r="BJI4" s="88"/>
      <c r="BJJ4" s="88"/>
      <c r="BJK4" s="88"/>
      <c r="BJL4" s="88"/>
      <c r="BJM4" s="88"/>
      <c r="BJN4" s="90"/>
    </row>
    <row r="5" spans="1:1626" ht="30" customHeight="1" x14ac:dyDescent="0.25">
      <c r="B5" s="96"/>
      <c r="C5" s="12" t="s">
        <v>1</v>
      </c>
      <c r="D5" s="141"/>
      <c r="E5" s="13" t="s">
        <v>47</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88"/>
      <c r="BHG5" s="88"/>
      <c r="BHH5" s="88"/>
      <c r="BHI5" s="88"/>
      <c r="BHJ5" s="88"/>
      <c r="BHK5" s="88"/>
      <c r="BHL5" s="88"/>
      <c r="BHM5" s="88"/>
      <c r="BHN5" s="88"/>
      <c r="BHO5" s="88"/>
      <c r="BHP5" s="88"/>
      <c r="BHQ5" s="88"/>
      <c r="BHR5" s="88"/>
      <c r="BHS5" s="88"/>
      <c r="BHT5" s="88"/>
      <c r="BHU5" s="88"/>
      <c r="BHV5" s="88"/>
      <c r="BHW5" s="88"/>
      <c r="BHX5" s="88"/>
      <c r="BHY5" s="88"/>
      <c r="BHZ5" s="88"/>
      <c r="BIA5" s="88"/>
      <c r="BIB5" s="88"/>
      <c r="BIC5" s="88"/>
      <c r="BID5" s="88"/>
      <c r="BIE5" s="88"/>
      <c r="BIF5" s="88"/>
      <c r="BIG5" s="88"/>
      <c r="BIH5" s="88"/>
      <c r="BII5" s="88"/>
      <c r="BIJ5" s="88"/>
      <c r="BIK5" s="88"/>
      <c r="BIL5" s="88"/>
      <c r="BIM5" s="88"/>
      <c r="BIN5" s="88"/>
      <c r="BIO5" s="88"/>
      <c r="BIP5" s="88"/>
      <c r="BIQ5" s="88"/>
      <c r="BIR5" s="88"/>
      <c r="BIS5" s="88"/>
      <c r="BIT5" s="88"/>
      <c r="BIU5" s="88"/>
      <c r="BIV5" s="88"/>
      <c r="BIW5" s="88"/>
      <c r="BIX5" s="88"/>
      <c r="BIY5" s="88"/>
      <c r="BIZ5" s="88"/>
      <c r="BJA5" s="88"/>
      <c r="BJB5" s="88"/>
      <c r="BJC5" s="88"/>
      <c r="BJD5" s="88"/>
      <c r="BJE5" s="88"/>
      <c r="BJF5" s="88"/>
      <c r="BJG5" s="88"/>
      <c r="BJH5" s="88"/>
      <c r="BJI5" s="88"/>
      <c r="BJJ5" s="88"/>
      <c r="BJK5" s="88"/>
      <c r="BJL5" s="88"/>
      <c r="BJM5" s="88"/>
      <c r="BJN5" s="90"/>
    </row>
    <row r="6" spans="1:1626" ht="30" customHeight="1" thickBot="1" x14ac:dyDescent="0.3">
      <c r="B6" s="96"/>
      <c r="C6" s="17" t="s">
        <v>2</v>
      </c>
      <c r="D6" s="142"/>
      <c r="E6" s="18" t="s">
        <v>48</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88"/>
      <c r="BHG6" s="88"/>
      <c r="BHH6" s="88"/>
      <c r="BHI6" s="88"/>
      <c r="BHJ6" s="88"/>
      <c r="BHK6" s="88"/>
      <c r="BHL6" s="88"/>
      <c r="BHM6" s="88"/>
      <c r="BHN6" s="88"/>
      <c r="BHO6" s="88"/>
      <c r="BHP6" s="88"/>
      <c r="BHQ6" s="88"/>
      <c r="BHR6" s="88"/>
      <c r="BHS6" s="88"/>
      <c r="BHT6" s="88"/>
      <c r="BHU6" s="88"/>
      <c r="BHV6" s="88"/>
      <c r="BHW6" s="88"/>
      <c r="BHX6" s="88"/>
      <c r="BHY6" s="88"/>
      <c r="BHZ6" s="88"/>
      <c r="BIA6" s="88"/>
      <c r="BIB6" s="88"/>
      <c r="BIC6" s="88"/>
      <c r="BID6" s="88"/>
      <c r="BIE6" s="88"/>
      <c r="BIF6" s="88"/>
      <c r="BIG6" s="88"/>
      <c r="BIH6" s="88"/>
      <c r="BII6" s="88"/>
      <c r="BIJ6" s="88"/>
      <c r="BIK6" s="88"/>
      <c r="BIL6" s="88"/>
      <c r="BIM6" s="88"/>
      <c r="BIN6" s="88"/>
      <c r="BIO6" s="88"/>
      <c r="BIP6" s="88"/>
      <c r="BIQ6" s="88"/>
      <c r="BIR6" s="88"/>
      <c r="BIS6" s="88"/>
      <c r="BIT6" s="88"/>
      <c r="BIU6" s="88"/>
      <c r="BIV6" s="88"/>
      <c r="BIW6" s="88"/>
      <c r="BIX6" s="88"/>
      <c r="BIY6" s="88"/>
      <c r="BIZ6" s="88"/>
      <c r="BJA6" s="88"/>
      <c r="BJB6" s="88"/>
      <c r="BJC6" s="88"/>
      <c r="BJD6" s="88"/>
      <c r="BJE6" s="88"/>
      <c r="BJF6" s="88"/>
      <c r="BJG6" s="88"/>
      <c r="BJH6" s="88"/>
      <c r="BJI6" s="88"/>
      <c r="BJJ6" s="88"/>
      <c r="BJK6" s="88"/>
      <c r="BJL6" s="88"/>
      <c r="BJM6" s="88"/>
      <c r="BJN6" s="90"/>
    </row>
    <row r="7" spans="1:1626" ht="20.100000000000001" customHeight="1" thickBot="1" x14ac:dyDescent="0.3">
      <c r="B7" s="96"/>
      <c r="C7" s="206"/>
      <c r="D7" s="206"/>
      <c r="E7" s="206"/>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88"/>
      <c r="BHG7" s="88"/>
      <c r="BHH7" s="88"/>
      <c r="BHI7" s="88"/>
      <c r="BHJ7" s="88"/>
      <c r="BHK7" s="88"/>
      <c r="BHL7" s="88"/>
      <c r="BHM7" s="88"/>
      <c r="BHN7" s="88"/>
      <c r="BHO7" s="88"/>
      <c r="BHP7" s="88"/>
      <c r="BHQ7" s="88"/>
      <c r="BHR7" s="88"/>
      <c r="BHS7" s="88"/>
      <c r="BHT7" s="88"/>
      <c r="BHU7" s="88"/>
      <c r="BHV7" s="88"/>
      <c r="BHW7" s="88"/>
      <c r="BHX7" s="88"/>
      <c r="BHY7" s="88"/>
      <c r="BHZ7" s="88"/>
      <c r="BIA7" s="88"/>
      <c r="BIB7" s="88"/>
      <c r="BIC7" s="88"/>
      <c r="BID7" s="88"/>
      <c r="BIE7" s="88"/>
      <c r="BIF7" s="88"/>
      <c r="BIG7" s="88"/>
      <c r="BIH7" s="88"/>
      <c r="BII7" s="88"/>
      <c r="BIJ7" s="88"/>
      <c r="BIK7" s="88"/>
      <c r="BIL7" s="88"/>
      <c r="BIM7" s="88"/>
      <c r="BIN7" s="88"/>
      <c r="BIO7" s="88"/>
      <c r="BIP7" s="88"/>
      <c r="BIQ7" s="88"/>
      <c r="BIR7" s="88"/>
      <c r="BIS7" s="88"/>
      <c r="BIT7" s="88"/>
      <c r="BIU7" s="88"/>
      <c r="BIV7" s="88"/>
      <c r="BIW7" s="88"/>
      <c r="BIX7" s="88"/>
      <c r="BIY7" s="88"/>
      <c r="BIZ7" s="88"/>
      <c r="BJA7" s="88"/>
      <c r="BJB7" s="88"/>
      <c r="BJC7" s="88"/>
      <c r="BJD7" s="88"/>
      <c r="BJE7" s="88"/>
      <c r="BJF7" s="88"/>
      <c r="BJG7" s="88"/>
      <c r="BJH7" s="88"/>
      <c r="BJI7" s="88"/>
      <c r="BJJ7" s="88"/>
      <c r="BJK7" s="88"/>
      <c r="BJL7" s="88"/>
      <c r="BJM7" s="88"/>
      <c r="BJN7" s="90"/>
    </row>
    <row r="8" spans="1:1626" ht="30" customHeight="1" x14ac:dyDescent="0.25">
      <c r="B8" s="96"/>
      <c r="C8" s="7" t="s">
        <v>3</v>
      </c>
      <c r="D8" s="140"/>
      <c r="E8" s="8" t="s">
        <v>52</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88"/>
      <c r="BHG8" s="88"/>
      <c r="BHH8" s="88"/>
      <c r="BHI8" s="88"/>
      <c r="BHJ8" s="88"/>
      <c r="BHK8" s="88"/>
      <c r="BHL8" s="88"/>
      <c r="BHM8" s="88"/>
      <c r="BHN8" s="88"/>
      <c r="BHO8" s="88"/>
      <c r="BHP8" s="88"/>
      <c r="BHQ8" s="88"/>
      <c r="BHR8" s="88"/>
      <c r="BHS8" s="88"/>
      <c r="BHT8" s="88"/>
      <c r="BHU8" s="88"/>
      <c r="BHV8" s="88"/>
      <c r="BHW8" s="88"/>
      <c r="BHX8" s="88"/>
      <c r="BHY8" s="88"/>
      <c r="BHZ8" s="88"/>
      <c r="BIA8" s="88"/>
      <c r="BIB8" s="88"/>
      <c r="BIC8" s="88"/>
      <c r="BID8" s="88"/>
      <c r="BIE8" s="88"/>
      <c r="BIF8" s="88"/>
      <c r="BIG8" s="88"/>
      <c r="BIH8" s="88"/>
      <c r="BII8" s="88"/>
      <c r="BIJ8" s="88"/>
      <c r="BIK8" s="88"/>
      <c r="BIL8" s="88"/>
      <c r="BIM8" s="88"/>
      <c r="BIN8" s="88"/>
      <c r="BIO8" s="88"/>
      <c r="BIP8" s="88"/>
      <c r="BIQ8" s="88"/>
      <c r="BIR8" s="88"/>
      <c r="BIS8" s="88"/>
      <c r="BIT8" s="88"/>
      <c r="BIU8" s="88"/>
      <c r="BIV8" s="88"/>
      <c r="BIW8" s="88"/>
      <c r="BIX8" s="88"/>
      <c r="BIY8" s="88"/>
      <c r="BIZ8" s="88"/>
      <c r="BJA8" s="88"/>
      <c r="BJB8" s="88"/>
      <c r="BJC8" s="88"/>
      <c r="BJD8" s="88"/>
      <c r="BJE8" s="88"/>
      <c r="BJF8" s="88"/>
      <c r="BJG8" s="88"/>
      <c r="BJH8" s="88"/>
      <c r="BJI8" s="88"/>
      <c r="BJJ8" s="88"/>
      <c r="BJK8" s="88"/>
      <c r="BJL8" s="88"/>
      <c r="BJM8" s="88"/>
      <c r="BJN8" s="90"/>
    </row>
    <row r="9" spans="1:1626" ht="30" customHeight="1" x14ac:dyDescent="0.25">
      <c r="B9" s="96"/>
      <c r="C9" s="12" t="s">
        <v>16</v>
      </c>
      <c r="D9" s="141"/>
      <c r="E9" s="13" t="s">
        <v>20</v>
      </c>
      <c r="F9" s="14"/>
      <c r="G9" s="217" t="str">
        <f>E96</f>
        <v>89h20min</v>
      </c>
      <c r="H9" s="217"/>
      <c r="I9" s="217"/>
      <c r="J9" s="217"/>
      <c r="K9" s="217"/>
      <c r="L9" s="217"/>
      <c r="M9" s="217"/>
      <c r="N9" s="217"/>
      <c r="O9" s="217"/>
      <c r="P9" s="217"/>
      <c r="Q9" s="217"/>
      <c r="R9" s="217"/>
      <c r="S9" s="217"/>
      <c r="T9" s="217"/>
      <c r="U9" s="217"/>
      <c r="V9" s="119"/>
      <c r="W9" s="216" t="s">
        <v>21</v>
      </c>
      <c r="X9" s="216"/>
      <c r="Y9" s="216"/>
      <c r="Z9" s="216"/>
      <c r="AA9" s="216"/>
      <c r="AB9" s="216"/>
      <c r="AC9" s="216"/>
      <c r="AD9" s="216"/>
      <c r="AE9" s="216"/>
      <c r="AF9" s="216"/>
      <c r="AG9" s="216"/>
      <c r="AH9" s="217" t="str">
        <f>E98</f>
        <v>31h25min</v>
      </c>
      <c r="AI9" s="217"/>
      <c r="AJ9" s="217"/>
      <c r="AK9" s="217"/>
      <c r="AL9" s="217"/>
      <c r="AM9" s="217"/>
      <c r="AN9" s="217"/>
      <c r="AO9" s="217"/>
      <c r="AP9" s="217"/>
      <c r="AQ9" s="217"/>
      <c r="AR9" s="217"/>
      <c r="AS9" s="217"/>
      <c r="AT9" s="217"/>
      <c r="AU9" s="217"/>
      <c r="AV9" s="217"/>
      <c r="AW9" s="217"/>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88"/>
      <c r="BHG9" s="88"/>
      <c r="BHH9" s="88"/>
      <c r="BHI9" s="88"/>
      <c r="BHJ9" s="88"/>
      <c r="BHK9" s="88"/>
      <c r="BHL9" s="88"/>
      <c r="BHM9" s="88"/>
      <c r="BHN9" s="88"/>
      <c r="BHO9" s="88"/>
      <c r="BHP9" s="88"/>
      <c r="BHQ9" s="88"/>
      <c r="BHR9" s="88"/>
      <c r="BHS9" s="88"/>
      <c r="BHT9" s="88"/>
      <c r="BHU9" s="88"/>
      <c r="BHV9" s="88"/>
      <c r="BHW9" s="88"/>
      <c r="BHX9" s="88"/>
      <c r="BHY9" s="88"/>
      <c r="BHZ9" s="88"/>
      <c r="BIA9" s="88"/>
      <c r="BIB9" s="88"/>
      <c r="BIC9" s="88"/>
      <c r="BID9" s="88"/>
      <c r="BIE9" s="88"/>
      <c r="BIF9" s="88"/>
      <c r="BIG9" s="88"/>
      <c r="BIH9" s="88"/>
      <c r="BII9" s="88"/>
      <c r="BIJ9" s="88"/>
      <c r="BIK9" s="88"/>
      <c r="BIL9" s="88"/>
      <c r="BIM9" s="88"/>
      <c r="BIN9" s="88"/>
      <c r="BIO9" s="88"/>
      <c r="BIP9" s="88"/>
      <c r="BIQ9" s="88"/>
      <c r="BIR9" s="88"/>
      <c r="BIS9" s="88"/>
      <c r="BIT9" s="88"/>
      <c r="BIU9" s="88"/>
      <c r="BIV9" s="88"/>
      <c r="BIW9" s="88"/>
      <c r="BIX9" s="88"/>
      <c r="BIY9" s="88"/>
      <c r="BIZ9" s="88"/>
      <c r="BJA9" s="88"/>
      <c r="BJB9" s="88"/>
      <c r="BJC9" s="88"/>
      <c r="BJD9" s="88"/>
      <c r="BJE9" s="88"/>
      <c r="BJF9" s="88"/>
      <c r="BJG9" s="88"/>
      <c r="BJH9" s="88"/>
      <c r="BJI9" s="88"/>
      <c r="BJJ9" s="88"/>
      <c r="BJK9" s="88"/>
      <c r="BJL9" s="88"/>
      <c r="BJM9" s="88"/>
      <c r="BJN9" s="90"/>
    </row>
    <row r="10" spans="1:162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18"/>
      <c r="BO10" s="218"/>
      <c r="BP10" s="218"/>
      <c r="BQ10" s="218"/>
      <c r="BR10" s="218"/>
      <c r="BS10" s="218"/>
      <c r="BT10" s="218"/>
      <c r="BU10" s="218"/>
      <c r="BV10" s="218"/>
      <c r="BW10" s="218"/>
      <c r="BX10" s="218"/>
      <c r="BY10" s="218"/>
      <c r="BZ10" s="218"/>
      <c r="CA10" s="218"/>
      <c r="CB10" s="218"/>
      <c r="CC10" s="218"/>
      <c r="CD10" s="218"/>
      <c r="CE10" s="218"/>
      <c r="CF10" s="218"/>
      <c r="CG10" s="218"/>
      <c r="CH10" s="218"/>
      <c r="CI10" s="218"/>
      <c r="CJ10" s="218"/>
      <c r="CK10" s="218"/>
      <c r="CL10" s="218"/>
      <c r="CM10" s="218"/>
      <c r="CN10" s="218"/>
      <c r="CO10" s="218"/>
      <c r="CP10" s="218"/>
      <c r="CQ10" s="92"/>
      <c r="CR10" s="195"/>
      <c r="CS10" s="195"/>
      <c r="CT10" s="195"/>
      <c r="CU10" s="195"/>
      <c r="CV10" s="195"/>
      <c r="CW10" s="195"/>
      <c r="CX10" s="195"/>
      <c r="CY10" s="195"/>
      <c r="CZ10" s="195"/>
      <c r="DA10" s="195"/>
      <c r="DB10" s="195"/>
      <c r="DC10" s="195"/>
      <c r="DD10" s="195"/>
      <c r="DE10" s="195"/>
      <c r="DF10" s="195"/>
      <c r="DG10" s="195"/>
      <c r="DH10" s="195"/>
      <c r="DI10" s="195"/>
      <c r="DJ10" s="195"/>
      <c r="DK10" s="195"/>
      <c r="DL10" s="195"/>
      <c r="DM10" s="195"/>
      <c r="DN10" s="195"/>
      <c r="DO10" s="195"/>
      <c r="DP10" s="195"/>
      <c r="DQ10" s="195"/>
      <c r="DR10" s="195"/>
      <c r="DS10" s="195"/>
      <c r="DT10" s="195"/>
      <c r="DU10" s="195"/>
      <c r="DV10" s="195"/>
      <c r="DW10" s="195"/>
      <c r="DX10" s="195"/>
      <c r="DY10" s="195"/>
      <c r="DZ10" s="195"/>
      <c r="EA10" s="195"/>
      <c r="EB10" s="195"/>
      <c r="EC10" s="195"/>
      <c r="ED10" s="195"/>
      <c r="EE10" s="195"/>
      <c r="EF10" s="195"/>
      <c r="EG10" s="195"/>
      <c r="EH10" s="195"/>
      <c r="EI10" s="195"/>
      <c r="EJ10" s="195"/>
      <c r="EK10" s="195"/>
      <c r="EL10" s="195"/>
      <c r="EM10" s="195"/>
      <c r="EN10" s="195"/>
      <c r="EO10" s="195"/>
      <c r="EP10" s="195"/>
      <c r="EQ10" s="195"/>
      <c r="ER10" s="195"/>
      <c r="ES10" s="195"/>
      <c r="ET10" s="195"/>
      <c r="EU10" s="195"/>
      <c r="EV10" s="195"/>
      <c r="EW10" s="195"/>
      <c r="EX10" s="195"/>
      <c r="EY10" s="195"/>
      <c r="EZ10" s="195"/>
      <c r="FA10" s="195"/>
      <c r="FB10" s="195"/>
      <c r="FC10" s="195"/>
      <c r="FD10" s="195"/>
      <c r="FE10" s="195"/>
      <c r="FF10" s="195"/>
      <c r="FG10" s="195"/>
      <c r="FH10" s="195"/>
      <c r="FI10" s="195"/>
      <c r="FJ10" s="195"/>
      <c r="FK10" s="195"/>
      <c r="FL10" s="195"/>
      <c r="FM10" s="195"/>
      <c r="FN10" s="195"/>
      <c r="FO10" s="195"/>
      <c r="FP10" s="195"/>
      <c r="FQ10" s="195"/>
      <c r="FR10" s="195"/>
      <c r="FS10" s="195"/>
      <c r="FT10" s="195"/>
      <c r="FU10" s="195"/>
      <c r="FV10" s="195"/>
      <c r="FW10" s="195"/>
      <c r="FX10" s="195"/>
      <c r="FY10" s="195"/>
      <c r="FZ10" s="195"/>
      <c r="GA10" s="195"/>
      <c r="GB10" s="195"/>
      <c r="GC10" s="195"/>
      <c r="GD10" s="195"/>
      <c r="GE10" s="195"/>
      <c r="GF10" s="195"/>
      <c r="GG10" s="195"/>
      <c r="GH10" s="195"/>
      <c r="GI10" s="195"/>
      <c r="GJ10" s="195"/>
      <c r="GK10" s="195"/>
      <c r="GL10" s="195"/>
      <c r="GM10" s="195"/>
      <c r="GN10" s="195"/>
      <c r="GO10" s="195"/>
      <c r="GP10" s="195"/>
      <c r="GQ10" s="195"/>
      <c r="GR10" s="195"/>
      <c r="GS10" s="195"/>
      <c r="GT10" s="195"/>
      <c r="GU10" s="195"/>
      <c r="GV10" s="195"/>
      <c r="GW10" s="195"/>
      <c r="GX10" s="195"/>
      <c r="GY10" s="195"/>
      <c r="GZ10" s="195"/>
      <c r="HA10" s="195"/>
      <c r="HB10" s="195"/>
      <c r="HC10" s="195"/>
      <c r="HD10" s="195"/>
      <c r="HE10" s="195"/>
      <c r="HF10" s="195"/>
      <c r="HG10" s="195"/>
      <c r="HH10" s="195"/>
      <c r="HI10" s="195"/>
      <c r="HJ10" s="195"/>
      <c r="HK10" s="195"/>
      <c r="HL10" s="195"/>
      <c r="HM10" s="195"/>
      <c r="HN10" s="195"/>
      <c r="HO10" s="195"/>
      <c r="HP10" s="195"/>
      <c r="HQ10" s="195"/>
      <c r="HR10" s="195"/>
      <c r="HS10" s="195"/>
      <c r="HT10" s="195"/>
      <c r="HU10" s="195"/>
      <c r="HV10" s="195"/>
      <c r="HW10" s="195"/>
      <c r="HX10" s="195"/>
      <c r="HY10" s="195"/>
      <c r="HZ10" s="195"/>
      <c r="IA10" s="195"/>
      <c r="IB10" s="195"/>
      <c r="IC10" s="195"/>
      <c r="ID10" s="195"/>
      <c r="IE10" s="195"/>
      <c r="IF10" s="195"/>
      <c r="IG10" s="195"/>
      <c r="IH10" s="195"/>
      <c r="II10" s="195"/>
      <c r="IJ10" s="195"/>
      <c r="IK10" s="195"/>
      <c r="IL10" s="195"/>
      <c r="IM10" s="195"/>
      <c r="IN10" s="195"/>
      <c r="IO10" s="195"/>
      <c r="IP10" s="195"/>
      <c r="IQ10" s="195"/>
      <c r="IR10" s="195"/>
      <c r="IS10" s="195"/>
      <c r="IT10" s="195"/>
      <c r="IU10" s="195"/>
      <c r="IV10" s="195"/>
      <c r="IW10" s="195"/>
      <c r="IX10" s="195"/>
      <c r="IY10" s="195"/>
      <c r="IZ10" s="195"/>
      <c r="JA10" s="195"/>
      <c r="JB10" s="195"/>
      <c r="JC10" s="195"/>
      <c r="JD10" s="195"/>
      <c r="JE10" s="195"/>
      <c r="JF10" s="195"/>
      <c r="JG10" s="195"/>
      <c r="JH10" s="195"/>
      <c r="JI10" s="195"/>
      <c r="JJ10" s="195"/>
      <c r="JK10" s="195"/>
      <c r="JL10" s="195"/>
      <c r="JM10" s="195"/>
      <c r="JN10" s="195"/>
      <c r="JO10" s="195"/>
      <c r="JP10" s="195"/>
      <c r="JQ10" s="195"/>
      <c r="JR10" s="195"/>
      <c r="JS10" s="195"/>
      <c r="JT10" s="195"/>
      <c r="JU10" s="195"/>
      <c r="JV10" s="195"/>
      <c r="JW10" s="195"/>
      <c r="JX10" s="195"/>
      <c r="JY10" s="195"/>
      <c r="JZ10" s="195"/>
      <c r="KA10" s="195"/>
      <c r="KB10" s="195"/>
      <c r="KC10" s="195"/>
      <c r="KD10" s="195"/>
      <c r="KE10" s="195"/>
      <c r="KF10" s="195"/>
      <c r="KG10" s="195"/>
      <c r="KH10" s="195"/>
      <c r="KI10" s="195"/>
      <c r="KJ10" s="195"/>
      <c r="KK10" s="195"/>
      <c r="KL10" s="195"/>
      <c r="KM10" s="195"/>
      <c r="KN10" s="195"/>
      <c r="KO10" s="195"/>
      <c r="KP10" s="195"/>
      <c r="KQ10" s="195"/>
      <c r="KR10" s="195"/>
      <c r="KS10" s="195"/>
      <c r="KT10" s="195"/>
      <c r="KU10" s="195"/>
      <c r="KV10" s="195"/>
      <c r="KW10" s="195"/>
      <c r="KX10" s="195"/>
      <c r="KY10" s="195"/>
      <c r="KZ10" s="195"/>
      <c r="LA10" s="195"/>
      <c r="LB10" s="195"/>
      <c r="LC10" s="195"/>
      <c r="LD10" s="195"/>
      <c r="LE10" s="195"/>
      <c r="LF10" s="195"/>
      <c r="LG10" s="195"/>
      <c r="LH10" s="195"/>
      <c r="LI10" s="195"/>
      <c r="LJ10" s="195"/>
      <c r="LK10" s="195"/>
      <c r="LL10" s="195"/>
      <c r="LM10" s="195"/>
      <c r="LN10" s="195"/>
      <c r="LO10" s="195"/>
      <c r="LP10" s="195"/>
      <c r="LQ10" s="195"/>
      <c r="LR10" s="195"/>
      <c r="LS10" s="195"/>
      <c r="LT10" s="195"/>
      <c r="LU10" s="195"/>
      <c r="LV10" s="195"/>
      <c r="LW10" s="195"/>
      <c r="LX10" s="195"/>
      <c r="LY10" s="195"/>
      <c r="LZ10" s="195"/>
      <c r="MA10" s="195"/>
      <c r="MB10" s="195"/>
      <c r="MC10" s="195"/>
      <c r="MD10" s="195"/>
      <c r="ME10" s="195"/>
      <c r="MF10" s="195"/>
      <c r="MG10" s="195"/>
      <c r="MH10" s="195"/>
      <c r="MI10" s="195"/>
      <c r="MJ10" s="195"/>
      <c r="MK10" s="195"/>
      <c r="ML10" s="195"/>
      <c r="MM10" s="195"/>
      <c r="MN10" s="195"/>
      <c r="MO10" s="195"/>
      <c r="MP10" s="195"/>
      <c r="MQ10" s="195"/>
      <c r="MR10" s="195"/>
      <c r="MS10" s="195"/>
      <c r="MT10" s="195"/>
      <c r="MU10" s="195"/>
      <c r="MV10" s="195"/>
      <c r="MW10" s="195"/>
      <c r="MX10" s="195"/>
      <c r="MY10" s="195"/>
      <c r="MZ10" s="195"/>
      <c r="NA10" s="195"/>
      <c r="NB10" s="195"/>
      <c r="NC10" s="195"/>
      <c r="ND10" s="195"/>
      <c r="NE10" s="195"/>
      <c r="NF10" s="195"/>
      <c r="NG10" s="195"/>
      <c r="NH10" s="195"/>
      <c r="NI10" s="195"/>
      <c r="NJ10" s="195"/>
      <c r="NK10" s="195"/>
      <c r="NL10" s="195"/>
      <c r="NM10" s="195"/>
      <c r="NN10" s="195"/>
      <c r="NO10" s="195"/>
      <c r="NP10" s="195"/>
      <c r="NQ10" s="195"/>
      <c r="NR10" s="195"/>
      <c r="NS10" s="195"/>
      <c r="NT10" s="195"/>
      <c r="NU10" s="195"/>
      <c r="NV10" s="195"/>
      <c r="NW10" s="195"/>
      <c r="NX10" s="195"/>
      <c r="NY10" s="195"/>
      <c r="NZ10" s="195"/>
      <c r="OA10" s="195"/>
      <c r="OB10" s="195"/>
      <c r="OC10" s="195"/>
      <c r="OD10" s="195"/>
      <c r="OE10" s="195"/>
      <c r="OF10" s="195"/>
      <c r="OG10" s="195"/>
      <c r="OH10" s="195"/>
      <c r="OI10" s="195"/>
      <c r="OJ10" s="195"/>
      <c r="OK10" s="195"/>
      <c r="OL10" s="195"/>
      <c r="OM10" s="195"/>
      <c r="ON10" s="195"/>
      <c r="OO10" s="195"/>
      <c r="OP10" s="195"/>
      <c r="OQ10" s="195"/>
      <c r="OR10" s="195"/>
      <c r="OS10" s="195"/>
      <c r="OT10" s="195"/>
      <c r="OU10" s="195"/>
      <c r="OV10" s="195"/>
      <c r="OW10" s="195"/>
      <c r="OX10" s="195"/>
      <c r="OY10" s="195"/>
      <c r="OZ10" s="195"/>
      <c r="PA10" s="195"/>
      <c r="PB10" s="195"/>
      <c r="PC10" s="195"/>
      <c r="PD10" s="195"/>
      <c r="PE10" s="195"/>
      <c r="PF10" s="195"/>
      <c r="PG10" s="195"/>
      <c r="PH10" s="195"/>
      <c r="PI10" s="195"/>
      <c r="PJ10" s="195"/>
      <c r="PK10" s="195"/>
      <c r="PL10" s="195"/>
      <c r="PM10" s="195"/>
      <c r="PN10" s="195"/>
      <c r="PO10" s="195"/>
      <c r="PP10" s="195"/>
      <c r="PQ10" s="195"/>
      <c r="PR10" s="195"/>
      <c r="PS10" s="195"/>
      <c r="PT10" s="195"/>
      <c r="PU10" s="195"/>
      <c r="PV10" s="195"/>
      <c r="PW10" s="195"/>
      <c r="PX10" s="195"/>
      <c r="PY10" s="195"/>
      <c r="PZ10" s="195"/>
      <c r="QA10" s="195"/>
      <c r="QB10" s="195"/>
      <c r="QC10" s="195"/>
      <c r="QD10" s="195"/>
      <c r="QE10" s="195"/>
      <c r="QF10" s="195"/>
      <c r="QG10" s="195"/>
      <c r="QH10" s="195"/>
      <c r="QI10" s="195"/>
      <c r="QJ10" s="195"/>
      <c r="QK10" s="195"/>
      <c r="QL10" s="195"/>
      <c r="QM10" s="195"/>
      <c r="QN10" s="195"/>
      <c r="QO10" s="195"/>
      <c r="QP10" s="195"/>
      <c r="QQ10" s="195"/>
      <c r="QR10" s="195"/>
      <c r="QS10" s="195"/>
      <c r="QT10" s="195"/>
      <c r="QU10" s="195"/>
      <c r="QV10" s="195"/>
      <c r="QW10" s="195"/>
      <c r="QX10" s="195"/>
      <c r="QY10" s="195"/>
      <c r="QZ10" s="195"/>
      <c r="RA10" s="195"/>
      <c r="RB10" s="195"/>
      <c r="RC10" s="195"/>
      <c r="RD10" s="195"/>
      <c r="RE10" s="195"/>
      <c r="RF10" s="195"/>
      <c r="RG10" s="195"/>
      <c r="RH10" s="195"/>
      <c r="RI10" s="195"/>
      <c r="RJ10" s="195"/>
      <c r="RK10" s="195"/>
      <c r="RL10" s="195"/>
      <c r="RM10" s="195"/>
      <c r="RN10" s="195"/>
      <c r="RO10" s="195"/>
      <c r="RP10" s="195"/>
      <c r="RQ10" s="195"/>
      <c r="RR10" s="195"/>
      <c r="RS10" s="195"/>
      <c r="RT10" s="195"/>
      <c r="RU10" s="195"/>
      <c r="RV10" s="195"/>
      <c r="RW10" s="195"/>
      <c r="RX10" s="195"/>
      <c r="RY10" s="195"/>
      <c r="RZ10" s="195"/>
      <c r="SA10" s="195"/>
      <c r="SB10" s="195"/>
      <c r="SC10" s="195"/>
      <c r="SD10" s="195"/>
      <c r="SE10" s="195"/>
      <c r="SF10" s="195"/>
      <c r="SG10" s="195"/>
      <c r="SH10" s="195"/>
      <c r="SI10" s="195"/>
      <c r="SJ10" s="195"/>
      <c r="SK10" s="195"/>
      <c r="SL10" s="195"/>
      <c r="SM10" s="195"/>
      <c r="SN10" s="195"/>
      <c r="SO10" s="195"/>
      <c r="SP10" s="195"/>
      <c r="SQ10" s="195"/>
      <c r="SR10" s="195"/>
      <c r="SS10" s="195"/>
      <c r="ST10" s="195"/>
      <c r="SU10" s="195"/>
      <c r="SV10" s="195"/>
      <c r="SW10" s="195"/>
      <c r="SX10" s="195"/>
      <c r="SY10" s="195"/>
      <c r="SZ10" s="195"/>
      <c r="TA10" s="195"/>
      <c r="TB10" s="195"/>
      <c r="TC10" s="195"/>
      <c r="TD10" s="195"/>
      <c r="TE10" s="195"/>
      <c r="TF10" s="195"/>
      <c r="TG10" s="195"/>
      <c r="TH10" s="195"/>
      <c r="TI10" s="195"/>
      <c r="TJ10" s="195"/>
      <c r="TK10" s="195"/>
      <c r="TL10" s="195"/>
      <c r="TM10" s="195"/>
      <c r="TN10" s="195"/>
      <c r="TO10" s="195"/>
      <c r="TP10" s="195"/>
      <c r="TQ10" s="195"/>
      <c r="TR10" s="195"/>
      <c r="TS10" s="195"/>
      <c r="TT10" s="195"/>
      <c r="TU10" s="195"/>
      <c r="TV10" s="195"/>
      <c r="TW10" s="195"/>
      <c r="TX10" s="195"/>
      <c r="TY10" s="195"/>
      <c r="TZ10" s="195"/>
      <c r="UA10" s="195"/>
      <c r="UB10" s="195"/>
      <c r="UC10" s="195"/>
      <c r="UD10" s="195"/>
      <c r="UE10" s="195"/>
      <c r="UF10" s="195"/>
      <c r="UG10" s="195"/>
      <c r="UH10" s="195"/>
      <c r="UI10" s="195"/>
      <c r="UJ10" s="195"/>
      <c r="UK10" s="195"/>
      <c r="UL10" s="195"/>
      <c r="UM10" s="195"/>
      <c r="UN10" s="195"/>
      <c r="UO10" s="195"/>
      <c r="UP10" s="195"/>
      <c r="UQ10" s="195"/>
      <c r="UR10" s="195"/>
      <c r="US10" s="195"/>
      <c r="UT10" s="195"/>
      <c r="UU10" s="195"/>
      <c r="UV10" s="195"/>
      <c r="UW10" s="195"/>
      <c r="UX10" s="195"/>
      <c r="UY10" s="195"/>
      <c r="UZ10" s="195"/>
      <c r="VA10" s="195"/>
      <c r="VB10" s="195"/>
      <c r="VC10" s="195"/>
      <c r="VD10" s="195"/>
      <c r="VE10" s="195"/>
      <c r="VF10" s="195"/>
      <c r="VG10" s="195"/>
      <c r="VH10" s="195"/>
      <c r="VI10" s="195"/>
      <c r="VJ10" s="195"/>
      <c r="VK10" s="195"/>
      <c r="VL10" s="195"/>
      <c r="VM10" s="195"/>
      <c r="VN10" s="195"/>
      <c r="VO10" s="195"/>
      <c r="VP10" s="195"/>
      <c r="VQ10" s="195"/>
      <c r="VR10" s="195"/>
      <c r="VS10" s="195"/>
      <c r="VT10" s="195"/>
      <c r="VU10" s="195"/>
      <c r="VV10" s="195"/>
      <c r="VW10" s="195"/>
      <c r="VX10" s="195"/>
      <c r="VY10" s="195"/>
      <c r="VZ10" s="195"/>
      <c r="WA10" s="195"/>
      <c r="WB10" s="195"/>
      <c r="WC10" s="195"/>
      <c r="WD10" s="195"/>
      <c r="WE10" s="195"/>
      <c r="WF10" s="195"/>
      <c r="WG10" s="195"/>
      <c r="WH10" s="195"/>
      <c r="WI10" s="195"/>
      <c r="WJ10" s="195"/>
      <c r="WK10" s="195"/>
      <c r="WL10" s="195"/>
      <c r="WM10" s="195"/>
      <c r="WN10" s="195"/>
      <c r="WO10" s="195"/>
      <c r="WP10" s="195"/>
      <c r="WQ10" s="195"/>
      <c r="WR10" s="195"/>
      <c r="WS10" s="195"/>
      <c r="WT10" s="195"/>
      <c r="WU10" s="195"/>
      <c r="WV10" s="195"/>
      <c r="WW10" s="195"/>
      <c r="WX10" s="195"/>
      <c r="WY10" s="195"/>
      <c r="WZ10" s="195"/>
      <c r="XA10" s="195"/>
      <c r="XB10" s="195"/>
      <c r="XC10" s="195"/>
      <c r="XD10" s="195"/>
      <c r="XE10" s="195"/>
      <c r="XF10" s="195"/>
      <c r="XG10" s="195"/>
      <c r="XH10" s="195"/>
      <c r="XI10" s="195"/>
      <c r="XJ10" s="195"/>
      <c r="XK10" s="195"/>
      <c r="XL10" s="195"/>
      <c r="XM10" s="195"/>
      <c r="XN10" s="195"/>
      <c r="XO10" s="195"/>
      <c r="XP10" s="195"/>
      <c r="XQ10" s="195"/>
      <c r="XR10" s="195"/>
      <c r="XS10" s="195"/>
      <c r="XT10" s="195"/>
      <c r="XU10" s="195"/>
      <c r="XV10" s="195"/>
      <c r="XW10" s="195"/>
      <c r="XX10" s="195"/>
      <c r="XY10" s="195"/>
      <c r="XZ10" s="195"/>
      <c r="YA10" s="195"/>
      <c r="YB10" s="195"/>
      <c r="YC10" s="195"/>
      <c r="YD10" s="195"/>
      <c r="YE10" s="195"/>
      <c r="YF10" s="195"/>
      <c r="YG10" s="195"/>
      <c r="YH10" s="195"/>
      <c r="YI10" s="195"/>
      <c r="YJ10" s="195"/>
      <c r="YK10" s="195"/>
      <c r="YL10" s="195"/>
      <c r="YM10" s="195"/>
      <c r="YN10" s="195"/>
      <c r="YO10" s="195"/>
      <c r="YP10" s="195"/>
      <c r="YQ10" s="195"/>
      <c r="YR10" s="195"/>
      <c r="YS10" s="195"/>
      <c r="YT10" s="195"/>
      <c r="YU10" s="195"/>
      <c r="YV10" s="195"/>
      <c r="YW10" s="195"/>
      <c r="YX10" s="195"/>
      <c r="YY10" s="195"/>
      <c r="YZ10" s="195"/>
      <c r="ZA10" s="195"/>
      <c r="ZB10" s="195"/>
      <c r="ZC10" s="195"/>
      <c r="ZD10" s="195"/>
      <c r="ZE10" s="195"/>
      <c r="ZF10" s="195"/>
      <c r="ZG10" s="195"/>
      <c r="ZH10" s="195"/>
      <c r="ZI10" s="195"/>
      <c r="ZJ10" s="195"/>
      <c r="ZK10" s="195"/>
      <c r="ZL10" s="195"/>
      <c r="ZM10" s="195"/>
      <c r="ZN10" s="195"/>
      <c r="ZO10" s="195"/>
      <c r="ZP10" s="195"/>
      <c r="ZQ10" s="195"/>
      <c r="ZR10" s="195"/>
      <c r="ZS10" s="195"/>
      <c r="ZT10" s="195"/>
      <c r="ZU10" s="195"/>
      <c r="ZV10" s="195"/>
      <c r="ZW10" s="195"/>
      <c r="ZX10" s="195"/>
      <c r="ZY10" s="195"/>
      <c r="ZZ10" s="195"/>
      <c r="AAA10" s="195"/>
      <c r="AAB10" s="195"/>
      <c r="AAC10" s="195"/>
      <c r="AAD10" s="195"/>
      <c r="AAE10" s="195"/>
      <c r="AAF10" s="195"/>
      <c r="AAG10" s="195"/>
      <c r="AAH10" s="195"/>
      <c r="AAI10" s="195"/>
      <c r="AAJ10" s="195"/>
      <c r="AAK10" s="195"/>
      <c r="AAL10" s="195"/>
      <c r="AAM10" s="195"/>
      <c r="AAN10" s="195"/>
      <c r="AAO10" s="195"/>
      <c r="AAP10" s="195"/>
      <c r="AAQ10" s="195"/>
      <c r="AAR10" s="195"/>
      <c r="AAS10" s="195"/>
      <c r="AAT10" s="195"/>
      <c r="AAU10" s="195"/>
      <c r="AAV10" s="195"/>
      <c r="AAW10" s="195"/>
      <c r="AAX10" s="195"/>
      <c r="AAY10" s="195"/>
      <c r="AAZ10" s="195"/>
      <c r="ABA10" s="195"/>
      <c r="ABB10" s="195"/>
      <c r="ABC10" s="195"/>
      <c r="ABD10" s="195"/>
      <c r="ABE10" s="195"/>
      <c r="ABF10" s="195"/>
      <c r="ABG10" s="195"/>
      <c r="ABH10" s="195"/>
      <c r="ABI10" s="195"/>
      <c r="ABJ10" s="195"/>
      <c r="ABK10" s="195"/>
      <c r="ABL10" s="195"/>
      <c r="ABM10" s="195"/>
      <c r="ABN10" s="195"/>
      <c r="ABO10" s="195"/>
      <c r="ABP10" s="195"/>
      <c r="ABQ10" s="195"/>
      <c r="ABR10" s="195"/>
      <c r="ABS10" s="195"/>
      <c r="ABT10" s="195"/>
      <c r="ABU10" s="195"/>
      <c r="ABV10" s="195"/>
      <c r="ABW10" s="195"/>
      <c r="ABX10" s="195"/>
      <c r="ABY10" s="195"/>
      <c r="ABZ10" s="195"/>
      <c r="ACA10" s="195"/>
      <c r="ACB10" s="195"/>
      <c r="ACC10" s="195"/>
      <c r="ACD10" s="195"/>
      <c r="ACE10" s="195"/>
      <c r="ACF10" s="195"/>
      <c r="ACG10" s="195"/>
      <c r="ACH10" s="195"/>
      <c r="ACI10" s="195"/>
      <c r="ACJ10" s="195"/>
      <c r="ACK10" s="195"/>
      <c r="ACL10" s="195"/>
      <c r="ACM10" s="195"/>
      <c r="ACN10" s="195"/>
      <c r="ACO10" s="195"/>
      <c r="ACP10" s="195"/>
      <c r="ACQ10" s="195"/>
      <c r="ACR10" s="195"/>
      <c r="ACS10" s="195"/>
      <c r="ACT10" s="195"/>
      <c r="ACU10" s="195"/>
      <c r="ACV10" s="195"/>
      <c r="ACW10" s="195"/>
      <c r="ACX10" s="195"/>
      <c r="ACY10" s="195"/>
      <c r="ACZ10" s="195"/>
      <c r="ADA10" s="195"/>
      <c r="ADB10" s="195"/>
      <c r="ADC10" s="195"/>
      <c r="ADD10" s="195"/>
      <c r="ADE10" s="195"/>
      <c r="ADF10" s="195"/>
      <c r="ADG10" s="195"/>
      <c r="ADH10" s="195"/>
      <c r="ADI10" s="195"/>
      <c r="ADJ10" s="195"/>
      <c r="ADK10" s="195"/>
      <c r="ADL10" s="195"/>
      <c r="ADM10" s="195"/>
      <c r="ADN10" s="195"/>
      <c r="ADO10" s="195"/>
      <c r="ADP10" s="195"/>
      <c r="ADQ10" s="195"/>
      <c r="ADR10" s="195"/>
      <c r="ADS10" s="195"/>
      <c r="ADT10" s="195"/>
      <c r="ADU10" s="195"/>
      <c r="ADV10" s="195"/>
      <c r="ADW10" s="195"/>
      <c r="ADX10" s="195"/>
      <c r="ADY10" s="195"/>
      <c r="ADZ10" s="195"/>
      <c r="AEA10" s="195"/>
      <c r="AEB10" s="195"/>
      <c r="AEC10" s="195"/>
      <c r="AED10" s="195"/>
      <c r="AEE10" s="195"/>
      <c r="AEF10" s="195"/>
      <c r="AEG10" s="195"/>
      <c r="AEH10" s="195"/>
      <c r="AEI10" s="195"/>
      <c r="AEJ10" s="195"/>
      <c r="AEK10" s="195"/>
      <c r="AEL10" s="195"/>
      <c r="AEM10" s="195"/>
      <c r="AEN10" s="195"/>
      <c r="AEO10" s="195"/>
      <c r="AEP10" s="195"/>
      <c r="AEQ10" s="195"/>
      <c r="AER10" s="195"/>
      <c r="AES10" s="195"/>
      <c r="AET10" s="195"/>
      <c r="AEU10" s="195"/>
      <c r="AEV10" s="195"/>
      <c r="AEW10" s="195"/>
      <c r="AEX10" s="195"/>
      <c r="AEY10" s="195"/>
      <c r="AEZ10" s="195"/>
      <c r="AFA10" s="195"/>
      <c r="AFB10" s="195"/>
      <c r="AFC10" s="195"/>
      <c r="AFD10" s="195"/>
      <c r="AFE10" s="195"/>
      <c r="AFF10" s="195"/>
      <c r="AFG10" s="195"/>
      <c r="AFH10" s="195"/>
      <c r="AFI10" s="195"/>
      <c r="AFJ10" s="195"/>
      <c r="AFK10" s="195"/>
      <c r="AFL10" s="195"/>
      <c r="AFM10" s="195"/>
      <c r="AFN10" s="195"/>
      <c r="AFO10" s="195"/>
      <c r="AFP10" s="195"/>
      <c r="AFQ10" s="195"/>
      <c r="AFR10" s="195"/>
      <c r="AFS10" s="195"/>
      <c r="AFT10" s="195"/>
      <c r="AFU10" s="195"/>
      <c r="AFV10" s="195"/>
      <c r="AFW10" s="195"/>
      <c r="AFX10" s="195"/>
      <c r="AFY10" s="195"/>
      <c r="AFZ10" s="195"/>
      <c r="AGA10" s="195"/>
      <c r="AGB10" s="195"/>
      <c r="AGC10" s="195"/>
      <c r="AGD10" s="195"/>
      <c r="AGE10" s="195"/>
      <c r="AGF10" s="195"/>
      <c r="AGG10" s="195"/>
      <c r="AGH10" s="195"/>
      <c r="AGI10" s="195"/>
      <c r="AGJ10" s="195"/>
      <c r="AGK10" s="195"/>
      <c r="AGL10" s="195"/>
      <c r="AGM10" s="195"/>
      <c r="AGN10" s="195"/>
      <c r="AGO10" s="195"/>
      <c r="AGP10" s="195"/>
      <c r="AGQ10" s="195"/>
      <c r="AGR10" s="195"/>
      <c r="AGS10" s="195"/>
      <c r="AGT10" s="195"/>
      <c r="AGU10" s="195"/>
      <c r="AGV10" s="195"/>
      <c r="AGW10" s="195"/>
      <c r="AGX10" s="195"/>
      <c r="AGY10" s="195"/>
      <c r="AGZ10" s="195"/>
      <c r="AHA10" s="195"/>
      <c r="AHB10" s="195"/>
      <c r="AHC10" s="195"/>
      <c r="AHD10" s="195"/>
      <c r="AHE10" s="195"/>
      <c r="AHF10" s="195"/>
      <c r="AHG10" s="195"/>
      <c r="AHH10" s="195"/>
      <c r="AHI10" s="195"/>
      <c r="AHJ10" s="195"/>
      <c r="AHK10" s="195"/>
      <c r="AHL10" s="195"/>
      <c r="AHM10" s="195"/>
      <c r="AHN10" s="195"/>
      <c r="AHO10" s="195"/>
      <c r="AHP10" s="195"/>
      <c r="AHQ10" s="195"/>
      <c r="AHR10" s="195"/>
      <c r="AHS10" s="195"/>
      <c r="AHT10" s="195"/>
      <c r="AHU10" s="195"/>
      <c r="AHV10" s="195"/>
      <c r="AHW10" s="195"/>
      <c r="AHX10" s="195"/>
      <c r="AHY10" s="195"/>
      <c r="AHZ10" s="195"/>
      <c r="AIA10" s="195"/>
      <c r="AIB10" s="195"/>
      <c r="AIC10" s="195"/>
      <c r="AID10" s="195"/>
      <c r="AIE10" s="195"/>
      <c r="AIF10" s="195"/>
      <c r="AIG10" s="195"/>
      <c r="AIH10" s="195"/>
      <c r="AII10" s="195"/>
      <c r="AIJ10" s="195"/>
      <c r="AIK10" s="195"/>
      <c r="AIL10" s="195"/>
      <c r="AIM10" s="195"/>
      <c r="AIN10" s="195"/>
      <c r="AIO10" s="195"/>
      <c r="AIP10" s="195"/>
      <c r="AIQ10" s="195"/>
      <c r="AIR10" s="195"/>
      <c r="AIS10" s="195"/>
      <c r="AIT10" s="195"/>
      <c r="AIU10" s="195"/>
      <c r="AIV10" s="195"/>
      <c r="AIW10" s="195"/>
      <c r="AIX10" s="195"/>
      <c r="AIY10" s="195"/>
      <c r="AIZ10" s="195"/>
      <c r="AJA10" s="195"/>
      <c r="AJB10" s="195"/>
      <c r="AJC10" s="195"/>
      <c r="AJD10" s="195"/>
      <c r="AJE10" s="195"/>
      <c r="AJF10" s="195"/>
      <c r="AJG10" s="195"/>
      <c r="AJH10" s="195"/>
      <c r="AJI10" s="195"/>
      <c r="AJJ10" s="195"/>
      <c r="AJK10" s="195"/>
      <c r="AJL10" s="195"/>
      <c r="AJM10" s="195"/>
      <c r="AJN10" s="195"/>
      <c r="AJO10" s="195"/>
      <c r="AJP10" s="195"/>
      <c r="AJQ10" s="195"/>
      <c r="AJR10" s="195"/>
      <c r="AJS10" s="195"/>
      <c r="AJT10" s="195"/>
      <c r="AJU10" s="195"/>
      <c r="AJV10" s="195"/>
      <c r="AJW10" s="195"/>
      <c r="AJX10" s="195"/>
      <c r="AJY10" s="195"/>
      <c r="AJZ10" s="195"/>
      <c r="AKA10" s="195"/>
      <c r="AKB10" s="195"/>
      <c r="AKC10" s="195"/>
      <c r="AKD10" s="195"/>
      <c r="AKE10" s="195"/>
      <c r="AKF10" s="195"/>
      <c r="AKG10" s="195"/>
      <c r="AKH10" s="195"/>
      <c r="AKI10" s="195"/>
      <c r="AKJ10" s="195"/>
      <c r="AKK10" s="195"/>
      <c r="AKL10" s="195"/>
      <c r="AKM10" s="195"/>
      <c r="AKN10" s="195"/>
      <c r="AKO10" s="195"/>
      <c r="AKP10" s="195"/>
      <c r="AKQ10" s="195"/>
      <c r="AKR10" s="195"/>
      <c r="AKS10" s="195"/>
      <c r="AKT10" s="195"/>
      <c r="AKU10" s="195"/>
      <c r="AKV10" s="195"/>
      <c r="AKW10" s="195"/>
      <c r="AKX10" s="195"/>
      <c r="AKY10" s="195"/>
      <c r="AKZ10" s="195"/>
      <c r="ALA10" s="195"/>
      <c r="ALB10" s="195"/>
      <c r="ALC10" s="195"/>
      <c r="ALD10" s="195"/>
      <c r="ALE10" s="195"/>
      <c r="ALF10" s="195"/>
      <c r="ALG10" s="195"/>
      <c r="ALH10" s="195"/>
      <c r="ALI10" s="195"/>
      <c r="ALJ10" s="195"/>
      <c r="ALK10" s="195"/>
      <c r="ALL10" s="195"/>
      <c r="ALM10" s="195"/>
      <c r="ALN10" s="195"/>
      <c r="ALO10" s="195"/>
      <c r="ALP10" s="195"/>
      <c r="ALQ10" s="195"/>
      <c r="ALR10" s="195"/>
      <c r="ALS10" s="195"/>
      <c r="ALT10" s="195"/>
      <c r="ALU10" s="195"/>
      <c r="ALV10" s="195"/>
      <c r="ALW10" s="195"/>
      <c r="ALX10" s="195"/>
      <c r="ALY10" s="195"/>
      <c r="ALZ10" s="195"/>
      <c r="AMA10" s="195"/>
      <c r="AMB10" s="195"/>
      <c r="AMC10" s="195"/>
      <c r="AMD10" s="195"/>
      <c r="AME10" s="195"/>
      <c r="AMF10" s="195"/>
      <c r="AMG10" s="195"/>
      <c r="AMH10" s="195"/>
      <c r="AMI10" s="195"/>
      <c r="AMJ10" s="195"/>
      <c r="AMK10" s="195"/>
      <c r="AML10" s="195"/>
      <c r="AMM10" s="195"/>
      <c r="AMN10" s="195"/>
      <c r="AMO10" s="195"/>
      <c r="AMP10" s="195"/>
      <c r="AMQ10" s="195"/>
      <c r="AMR10" s="195"/>
      <c r="AMS10" s="195"/>
      <c r="AMT10" s="195"/>
      <c r="AMU10" s="195"/>
      <c r="AMV10" s="195"/>
      <c r="AMW10" s="195"/>
      <c r="AMX10" s="195"/>
      <c r="AMY10" s="195"/>
      <c r="AMZ10" s="195"/>
      <c r="ANA10" s="195"/>
      <c r="ANB10" s="195"/>
      <c r="ANC10" s="195"/>
      <c r="AND10" s="195"/>
      <c r="ANE10" s="195"/>
      <c r="ANF10" s="195"/>
      <c r="ANG10" s="195"/>
      <c r="ANH10" s="195"/>
      <c r="ANI10" s="195"/>
      <c r="ANJ10" s="195"/>
      <c r="ANK10" s="195"/>
      <c r="ANL10" s="195"/>
      <c r="ANM10" s="195"/>
      <c r="ANN10" s="195"/>
      <c r="ANO10" s="195"/>
      <c r="ANP10" s="195"/>
      <c r="ANQ10" s="195"/>
      <c r="ANR10" s="195"/>
      <c r="ANS10" s="195"/>
      <c r="ANT10" s="195"/>
      <c r="ANU10" s="195"/>
      <c r="ANV10" s="195"/>
      <c r="ANW10" s="195"/>
      <c r="ANX10" s="195"/>
      <c r="ANY10" s="195"/>
      <c r="ANZ10" s="195"/>
      <c r="AOA10" s="195"/>
      <c r="AOB10" s="195"/>
      <c r="AOC10" s="195"/>
      <c r="AOD10" s="195"/>
      <c r="AOE10" s="195"/>
      <c r="AOF10" s="195"/>
      <c r="AOG10" s="195"/>
      <c r="AOH10" s="195"/>
      <c r="AOI10" s="195"/>
      <c r="AOJ10" s="195"/>
      <c r="AOK10" s="195"/>
      <c r="AOL10" s="195"/>
      <c r="AOM10" s="195"/>
      <c r="AON10" s="195"/>
      <c r="AOO10" s="195"/>
      <c r="AOP10" s="195"/>
      <c r="AOQ10" s="195"/>
      <c r="AOR10" s="195"/>
      <c r="AOS10" s="195"/>
      <c r="AOT10" s="195"/>
      <c r="AOU10" s="195"/>
      <c r="AOV10" s="195"/>
      <c r="AOW10" s="195"/>
      <c r="AOX10" s="195"/>
      <c r="AOY10" s="195"/>
      <c r="AOZ10" s="195"/>
      <c r="APA10" s="195"/>
      <c r="APB10" s="195"/>
      <c r="APC10" s="195"/>
      <c r="APD10" s="195"/>
      <c r="APE10" s="195"/>
      <c r="APF10" s="195"/>
      <c r="APG10" s="195"/>
      <c r="APH10" s="195"/>
      <c r="API10" s="195"/>
      <c r="APJ10" s="195"/>
      <c r="APK10" s="195"/>
      <c r="APL10" s="195"/>
      <c r="APM10" s="195"/>
      <c r="APN10" s="195"/>
      <c r="APO10" s="195"/>
      <c r="APP10" s="195"/>
      <c r="APQ10" s="195"/>
      <c r="APR10" s="195"/>
      <c r="APS10" s="195"/>
      <c r="APT10" s="195"/>
      <c r="APU10" s="195"/>
      <c r="APV10" s="195"/>
      <c r="APW10" s="195"/>
      <c r="APX10" s="195"/>
      <c r="APY10" s="195"/>
      <c r="APZ10" s="195"/>
      <c r="AQA10" s="195"/>
      <c r="AQB10" s="195"/>
      <c r="AQC10" s="195"/>
      <c r="AQD10" s="195"/>
      <c r="AQE10" s="195"/>
      <c r="AQF10" s="195"/>
      <c r="AQG10" s="195"/>
      <c r="AQH10" s="195"/>
      <c r="AQI10" s="195"/>
      <c r="AQJ10" s="195"/>
      <c r="AQK10" s="195"/>
      <c r="AQL10" s="195"/>
      <c r="AQM10" s="195"/>
      <c r="AQN10" s="195"/>
      <c r="AQO10" s="195"/>
      <c r="AQP10" s="195"/>
      <c r="AQQ10" s="195"/>
      <c r="AQR10" s="195"/>
      <c r="AQS10" s="195"/>
      <c r="AQT10" s="195"/>
      <c r="AQU10" s="195"/>
      <c r="AQV10" s="195"/>
      <c r="AQW10" s="195"/>
      <c r="AQX10" s="195"/>
      <c r="AQY10" s="195"/>
      <c r="AQZ10" s="195"/>
      <c r="ARA10" s="195"/>
      <c r="ARB10" s="195"/>
      <c r="ARC10" s="195"/>
      <c r="ARD10" s="195"/>
      <c r="ARE10" s="195"/>
      <c r="ARF10" s="195"/>
      <c r="ARG10" s="195"/>
      <c r="ARH10" s="195"/>
      <c r="ARI10" s="195"/>
      <c r="ARJ10" s="195"/>
      <c r="ARK10" s="195"/>
      <c r="ARL10" s="195"/>
      <c r="ARM10" s="195"/>
      <c r="ARN10" s="195"/>
      <c r="ARO10" s="195"/>
      <c r="ARP10" s="195"/>
      <c r="ARQ10" s="195"/>
      <c r="ARR10" s="195"/>
      <c r="ARS10" s="195"/>
      <c r="ART10" s="195"/>
      <c r="ARU10" s="195"/>
      <c r="ARV10" s="195"/>
      <c r="ARW10" s="195"/>
      <c r="ARX10" s="195"/>
      <c r="ARY10" s="195"/>
      <c r="ARZ10" s="195"/>
      <c r="ASA10" s="195"/>
      <c r="ASB10" s="195"/>
      <c r="ASC10" s="195"/>
      <c r="ASD10" s="195"/>
      <c r="ASE10" s="195"/>
      <c r="ASF10" s="195"/>
      <c r="ASG10" s="195"/>
      <c r="ASH10" s="195"/>
      <c r="ASI10" s="195"/>
      <c r="ASJ10" s="195"/>
      <c r="ASK10" s="195"/>
      <c r="ASL10" s="195"/>
      <c r="ASM10" s="195"/>
      <c r="ASN10" s="195"/>
      <c r="ASO10" s="195"/>
      <c r="ASP10" s="195"/>
      <c r="ASQ10" s="195"/>
      <c r="ASR10" s="195"/>
      <c r="ASS10" s="195"/>
      <c r="AST10" s="195"/>
      <c r="ASU10" s="195"/>
      <c r="ASV10" s="195"/>
      <c r="ASW10" s="195"/>
      <c r="ASX10" s="195"/>
      <c r="ASY10" s="195"/>
      <c r="ASZ10" s="195"/>
      <c r="ATA10" s="195"/>
      <c r="ATB10" s="195"/>
      <c r="ATC10" s="195"/>
      <c r="ATD10" s="195"/>
      <c r="ATE10" s="195"/>
      <c r="ATF10" s="195"/>
      <c r="ATG10" s="195"/>
      <c r="ATH10" s="195"/>
      <c r="ATI10" s="195"/>
      <c r="ATJ10" s="195"/>
      <c r="ATK10" s="195"/>
      <c r="ATL10" s="195"/>
      <c r="ATM10" s="195"/>
      <c r="ATN10" s="195"/>
      <c r="ATO10" s="195"/>
      <c r="ATP10" s="195"/>
      <c r="ATQ10" s="195"/>
      <c r="ATR10" s="195"/>
      <c r="ATS10" s="195"/>
      <c r="ATT10" s="195"/>
      <c r="ATU10" s="195"/>
      <c r="ATV10" s="195"/>
      <c r="ATW10" s="195"/>
      <c r="ATX10" s="195"/>
      <c r="ATY10" s="195"/>
      <c r="ATZ10" s="195"/>
      <c r="AUA10" s="195"/>
      <c r="AUB10" s="195"/>
      <c r="AUC10" s="195"/>
      <c r="AUD10" s="195"/>
      <c r="AUE10" s="195"/>
      <c r="AUF10" s="195"/>
      <c r="AUG10" s="195"/>
      <c r="AUH10" s="195"/>
      <c r="AUI10" s="195"/>
      <c r="AUJ10" s="195"/>
      <c r="AUK10" s="195"/>
      <c r="AUL10" s="195"/>
      <c r="AUM10" s="195"/>
      <c r="AUN10" s="195"/>
      <c r="AUO10" s="195"/>
      <c r="AUP10" s="195"/>
      <c r="AUQ10" s="195"/>
      <c r="AUR10" s="195"/>
      <c r="AUS10" s="195"/>
      <c r="AUT10" s="195"/>
      <c r="AUU10" s="195"/>
      <c r="AUV10" s="195"/>
      <c r="AUW10" s="195"/>
      <c r="AUX10" s="195"/>
      <c r="AUY10" s="195"/>
      <c r="AUZ10" s="195"/>
      <c r="AVA10" s="195"/>
      <c r="AVB10" s="195"/>
      <c r="AVC10" s="195"/>
      <c r="AVD10" s="195"/>
      <c r="AVE10" s="195"/>
      <c r="AVF10" s="195"/>
      <c r="AVG10" s="195"/>
      <c r="AVH10" s="195"/>
      <c r="AVI10" s="195"/>
      <c r="AVJ10" s="195"/>
      <c r="AVK10" s="195"/>
      <c r="AVL10" s="195"/>
      <c r="AVM10" s="195"/>
      <c r="AVN10" s="195"/>
      <c r="AVO10" s="195"/>
      <c r="AVP10" s="195"/>
      <c r="AVQ10" s="195"/>
      <c r="AVR10" s="195"/>
      <c r="AVS10" s="195"/>
      <c r="AVT10" s="195"/>
      <c r="AVU10" s="195"/>
      <c r="AVV10" s="195"/>
      <c r="AVW10" s="195"/>
      <c r="AVX10" s="195"/>
      <c r="AVY10" s="195"/>
      <c r="AVZ10" s="195"/>
      <c r="AWA10" s="195"/>
      <c r="AWB10" s="195"/>
      <c r="AWC10" s="195"/>
      <c r="AWD10" s="195"/>
      <c r="AWE10" s="195"/>
      <c r="AWF10" s="195"/>
      <c r="AWG10" s="195"/>
      <c r="AWH10" s="195"/>
      <c r="AWI10" s="195"/>
      <c r="AWJ10" s="195"/>
      <c r="AWK10" s="195"/>
      <c r="AWL10" s="195"/>
      <c r="AWM10" s="195"/>
      <c r="AWN10" s="195"/>
      <c r="AWO10" s="195"/>
      <c r="AWP10" s="195"/>
      <c r="AWQ10" s="195"/>
      <c r="AWR10" s="195"/>
      <c r="AWS10" s="195"/>
      <c r="AWT10" s="195"/>
      <c r="AWU10" s="195"/>
      <c r="AWV10" s="195"/>
      <c r="AWW10" s="195"/>
      <c r="AWX10" s="195"/>
      <c r="AWY10" s="195"/>
      <c r="AWZ10" s="195"/>
      <c r="AXA10" s="195"/>
      <c r="AXB10" s="195"/>
      <c r="AXC10" s="195"/>
      <c r="AXD10" s="195"/>
      <c r="AXE10" s="195"/>
      <c r="AXF10" s="195"/>
      <c r="AXG10" s="195"/>
      <c r="AXH10" s="195"/>
      <c r="AXI10" s="195"/>
      <c r="AXJ10" s="195"/>
      <c r="AXK10" s="195"/>
      <c r="AXL10" s="195"/>
      <c r="AXM10" s="195"/>
      <c r="AXN10" s="195"/>
      <c r="AXO10" s="195"/>
      <c r="AXP10" s="195"/>
      <c r="AXQ10" s="195"/>
      <c r="AXR10" s="195"/>
      <c r="AXS10" s="195"/>
      <c r="AXT10" s="195"/>
      <c r="AXU10" s="195"/>
      <c r="AXV10" s="195"/>
      <c r="AXW10" s="195"/>
      <c r="AXX10" s="195"/>
      <c r="AXY10" s="195"/>
      <c r="AXZ10" s="195"/>
      <c r="AYA10" s="195"/>
      <c r="AYB10" s="195"/>
      <c r="AYC10" s="195"/>
      <c r="AYD10" s="195"/>
      <c r="AYE10" s="195"/>
      <c r="AYF10" s="195"/>
      <c r="AYG10" s="195"/>
      <c r="AYH10" s="195"/>
      <c r="AYI10" s="195"/>
      <c r="AYJ10" s="195"/>
      <c r="AYK10" s="195"/>
      <c r="AYL10" s="195"/>
      <c r="AYM10" s="195"/>
      <c r="AYN10" s="195"/>
      <c r="AYO10" s="195"/>
      <c r="AYP10" s="195"/>
      <c r="AYQ10" s="195"/>
      <c r="AYR10" s="195"/>
      <c r="AYS10" s="195"/>
      <c r="AYT10" s="195"/>
      <c r="AYU10" s="195"/>
      <c r="AYV10" s="195"/>
      <c r="AYW10" s="195"/>
      <c r="AYX10" s="195"/>
      <c r="AYY10" s="195"/>
      <c r="AYZ10" s="195"/>
      <c r="AZA10" s="195"/>
      <c r="AZB10" s="195"/>
      <c r="AZC10" s="195"/>
      <c r="AZD10" s="195"/>
      <c r="AZE10" s="195"/>
      <c r="AZF10" s="195"/>
      <c r="AZG10" s="195"/>
      <c r="AZH10" s="195"/>
      <c r="AZI10" s="195"/>
      <c r="AZJ10" s="195"/>
      <c r="AZK10" s="195"/>
      <c r="AZL10" s="195"/>
      <c r="AZM10" s="195"/>
      <c r="AZN10" s="195"/>
      <c r="AZO10" s="195"/>
      <c r="AZP10" s="195"/>
      <c r="AZQ10" s="195"/>
      <c r="AZR10" s="195"/>
      <c r="AZS10" s="195"/>
      <c r="AZT10" s="195"/>
      <c r="AZU10" s="195"/>
      <c r="AZV10" s="195"/>
      <c r="AZW10" s="195"/>
      <c r="AZX10" s="195"/>
      <c r="AZY10" s="195"/>
      <c r="AZZ10" s="195"/>
      <c r="BAA10" s="195"/>
      <c r="BAB10" s="195"/>
      <c r="BAC10" s="195"/>
      <c r="BAD10" s="195"/>
      <c r="BAE10" s="195"/>
      <c r="BAF10" s="195"/>
      <c r="BAG10" s="195"/>
      <c r="BAH10" s="195"/>
      <c r="BAI10" s="195"/>
      <c r="BAJ10" s="195"/>
      <c r="BAK10" s="195"/>
      <c r="BAL10" s="195"/>
      <c r="BAM10" s="195"/>
      <c r="BAN10" s="195"/>
      <c r="BAO10" s="195"/>
      <c r="BAP10" s="195"/>
      <c r="BAQ10" s="195"/>
      <c r="BAR10" s="195"/>
      <c r="BAS10" s="195"/>
      <c r="BAT10" s="195"/>
      <c r="BAU10" s="195"/>
      <c r="BAV10" s="195"/>
      <c r="BAW10" s="195"/>
      <c r="BAX10" s="195"/>
      <c r="BAY10" s="195"/>
      <c r="BAZ10" s="195"/>
      <c r="BBA10" s="195"/>
      <c r="BBB10" s="195"/>
      <c r="BBC10" s="195"/>
      <c r="BBD10" s="195"/>
      <c r="BBE10" s="195"/>
      <c r="BBF10" s="195"/>
      <c r="BBG10" s="195"/>
      <c r="BBH10" s="195"/>
      <c r="BBI10" s="195"/>
      <c r="BBJ10" s="195"/>
      <c r="BBK10" s="195"/>
      <c r="BBL10" s="195"/>
      <c r="BBM10" s="195"/>
      <c r="BBN10" s="195"/>
      <c r="BBO10" s="195"/>
      <c r="BBP10" s="195"/>
      <c r="BBQ10" s="195"/>
      <c r="BBR10" s="195"/>
      <c r="BBS10" s="195"/>
      <c r="BBT10" s="195"/>
      <c r="BBU10" s="195"/>
      <c r="BBV10" s="195"/>
      <c r="BBW10" s="195"/>
      <c r="BBX10" s="195"/>
      <c r="BBY10" s="195"/>
      <c r="BBZ10" s="195"/>
      <c r="BCA10" s="195"/>
      <c r="BCB10" s="195"/>
      <c r="BCC10" s="195"/>
      <c r="BCD10" s="195"/>
      <c r="BCE10" s="195"/>
      <c r="BCF10" s="195"/>
      <c r="BCG10" s="195"/>
      <c r="BCH10" s="195"/>
      <c r="BCI10" s="195"/>
      <c r="BCJ10" s="195"/>
      <c r="BCK10" s="195"/>
      <c r="BCL10" s="195"/>
      <c r="BCM10" s="195"/>
      <c r="BCN10" s="195"/>
      <c r="BCO10" s="195"/>
      <c r="BCP10" s="195"/>
      <c r="BCQ10" s="195"/>
      <c r="BCR10" s="195"/>
      <c r="BCS10" s="195"/>
      <c r="BCT10" s="195"/>
      <c r="BCU10" s="195"/>
      <c r="BCV10" s="195"/>
      <c r="BCW10" s="195"/>
      <c r="BCX10" s="195"/>
      <c r="BCY10" s="195"/>
      <c r="BCZ10" s="195"/>
      <c r="BDA10" s="195"/>
      <c r="BDB10" s="195"/>
      <c r="BDC10" s="195"/>
      <c r="BDD10" s="195"/>
      <c r="BDE10" s="195"/>
      <c r="BDF10" s="195"/>
      <c r="BDG10" s="195"/>
      <c r="BDH10" s="195"/>
      <c r="BDI10" s="195"/>
      <c r="BDJ10" s="195"/>
      <c r="BDK10" s="195"/>
      <c r="BDL10" s="195"/>
      <c r="BDM10" s="195"/>
      <c r="BDN10" s="195"/>
      <c r="BDO10" s="195"/>
      <c r="BDP10" s="195"/>
      <c r="BDQ10" s="195"/>
      <c r="BDR10" s="195"/>
      <c r="BDS10" s="195"/>
      <c r="BDT10" s="195"/>
      <c r="BDU10" s="195"/>
      <c r="BDV10" s="195"/>
      <c r="BDW10" s="195"/>
      <c r="BDX10" s="195"/>
      <c r="BDY10" s="195"/>
      <c r="BDZ10" s="195"/>
      <c r="BEA10" s="195"/>
      <c r="BEB10" s="195"/>
      <c r="BEC10" s="195"/>
      <c r="BED10" s="195"/>
      <c r="BEE10" s="195"/>
      <c r="BEF10" s="195"/>
      <c r="BEG10" s="195"/>
      <c r="BEH10" s="195"/>
      <c r="BEI10" s="195"/>
      <c r="BEJ10" s="195"/>
      <c r="BEK10" s="195"/>
      <c r="BEL10" s="195"/>
      <c r="BEM10" s="195"/>
      <c r="BEN10" s="195"/>
      <c r="BEO10" s="195"/>
      <c r="BEP10" s="195"/>
      <c r="BEQ10" s="195"/>
      <c r="BER10" s="195"/>
      <c r="BES10" s="195"/>
      <c r="BET10" s="195"/>
      <c r="BEU10" s="195"/>
      <c r="BEV10" s="195"/>
      <c r="BEW10" s="195"/>
      <c r="BEX10" s="195"/>
      <c r="BEY10" s="195"/>
      <c r="BEZ10" s="195"/>
      <c r="BFA10" s="195"/>
      <c r="BFB10" s="195"/>
      <c r="BFC10" s="195"/>
      <c r="BFD10" s="195"/>
      <c r="BFE10" s="195"/>
      <c r="BFF10" s="195"/>
      <c r="BFG10" s="195"/>
      <c r="BFH10" s="195"/>
      <c r="BFI10" s="195"/>
      <c r="BFJ10" s="195"/>
      <c r="BFK10" s="195"/>
      <c r="BFL10" s="195"/>
      <c r="BFM10" s="195"/>
      <c r="BFN10" s="195"/>
      <c r="BFO10" s="195"/>
      <c r="BFP10" s="195"/>
      <c r="BFQ10" s="195"/>
      <c r="BFR10" s="195"/>
      <c r="BFS10" s="195"/>
      <c r="BFT10" s="195"/>
      <c r="BFU10" s="195"/>
      <c r="BFV10" s="195"/>
      <c r="BFW10" s="195"/>
      <c r="BFX10" s="195"/>
      <c r="BFY10" s="195"/>
      <c r="BFZ10" s="195"/>
      <c r="BGA10" s="195"/>
      <c r="BGB10" s="195"/>
      <c r="BGC10" s="195"/>
      <c r="BGD10" s="195"/>
      <c r="BGE10" s="195"/>
      <c r="BGF10" s="195"/>
      <c r="BGG10" s="195"/>
      <c r="BGH10" s="195"/>
      <c r="BGI10" s="195"/>
      <c r="BGJ10" s="195"/>
      <c r="BGK10" s="195"/>
      <c r="BGL10" s="195"/>
      <c r="BGM10" s="195"/>
      <c r="BGN10" s="195"/>
      <c r="BGO10" s="195"/>
      <c r="BGP10" s="195"/>
      <c r="BGQ10" s="195"/>
      <c r="BGR10" s="195"/>
      <c r="BGS10" s="195"/>
      <c r="BGT10" s="195"/>
      <c r="BGU10" s="195"/>
      <c r="BGV10" s="195"/>
      <c r="BGW10" s="195"/>
      <c r="BGX10" s="195"/>
      <c r="BGY10" s="195"/>
      <c r="BGZ10" s="195"/>
      <c r="BHA10" s="195"/>
      <c r="BHB10" s="195"/>
      <c r="BHC10" s="195"/>
      <c r="BHD10" s="195"/>
      <c r="BHE10" s="195"/>
      <c r="BHF10" s="195"/>
      <c r="BHG10" s="195"/>
      <c r="BHH10" s="195"/>
      <c r="BHI10" s="195"/>
      <c r="BHJ10" s="195"/>
      <c r="BHK10" s="195"/>
      <c r="BHL10" s="195"/>
      <c r="BHM10" s="195"/>
      <c r="BHN10" s="195"/>
      <c r="BHO10" s="195"/>
      <c r="BHP10" s="195"/>
      <c r="BHQ10" s="195"/>
      <c r="BHR10" s="195"/>
      <c r="BHS10" s="195"/>
      <c r="BHT10" s="195"/>
      <c r="BHU10" s="195"/>
      <c r="BHV10" s="195"/>
      <c r="BHW10" s="195"/>
      <c r="BHX10" s="195"/>
      <c r="BHY10" s="195"/>
      <c r="BHZ10" s="195"/>
      <c r="BIA10" s="195"/>
      <c r="BIB10" s="195"/>
      <c r="BIC10" s="195"/>
      <c r="BID10" s="195"/>
      <c r="BIE10" s="195"/>
      <c r="BIF10" s="195"/>
      <c r="BIG10" s="195"/>
      <c r="BIH10" s="195"/>
      <c r="BII10" s="195"/>
      <c r="BIJ10" s="195"/>
      <c r="BIK10" s="195"/>
      <c r="BIL10" s="195"/>
      <c r="BIM10" s="195"/>
      <c r="BIN10" s="195"/>
      <c r="BIO10" s="195"/>
      <c r="BIP10" s="195"/>
      <c r="BIQ10" s="195"/>
      <c r="BIR10" s="195"/>
      <c r="BIS10" s="195"/>
      <c r="BIT10" s="195"/>
      <c r="BIU10" s="195"/>
      <c r="BIV10" s="195"/>
      <c r="BIW10" s="195"/>
      <c r="BIX10" s="195"/>
      <c r="BIY10" s="195"/>
      <c r="BIZ10" s="195"/>
      <c r="BJA10" s="195"/>
      <c r="BJB10" s="195"/>
      <c r="BJC10" s="195"/>
      <c r="BJD10" s="195"/>
      <c r="BJE10" s="195"/>
      <c r="BJF10" s="195"/>
      <c r="BJG10" s="195"/>
      <c r="BJH10" s="195"/>
      <c r="BJI10" s="195"/>
      <c r="BJJ10" s="195"/>
      <c r="BJK10" s="195"/>
      <c r="BJL10" s="195"/>
      <c r="BJM10" s="195"/>
      <c r="BJN10" s="90"/>
    </row>
    <row r="11" spans="1:1626" ht="20.100000000000001" customHeight="1" x14ac:dyDescent="0.25">
      <c r="B11" s="96"/>
      <c r="C11" s="203"/>
      <c r="D11" s="203"/>
      <c r="E11" s="203"/>
      <c r="F11" s="215" t="s">
        <v>133</v>
      </c>
      <c r="G11" s="215"/>
      <c r="H11" s="215"/>
      <c r="I11" s="215"/>
      <c r="J11" s="215"/>
      <c r="K11" s="215"/>
      <c r="L11" s="215"/>
      <c r="M11" s="215"/>
      <c r="N11" s="215"/>
      <c r="O11" s="215"/>
      <c r="P11" s="215"/>
      <c r="Q11" s="215"/>
      <c r="R11" s="215"/>
      <c r="S11" s="215"/>
      <c r="T11" s="215"/>
      <c r="U11" s="215"/>
      <c r="V11" s="215"/>
      <c r="W11" s="215"/>
      <c r="X11" s="215"/>
      <c r="Y11" s="215"/>
      <c r="Z11" s="215"/>
      <c r="AA11" s="215"/>
      <c r="AB11" s="215"/>
      <c r="AC11" s="215"/>
      <c r="AD11" s="215"/>
      <c r="AE11" s="215"/>
      <c r="AF11" s="215"/>
      <c r="AG11" s="215"/>
      <c r="AH11" s="215"/>
      <c r="AI11" s="215"/>
      <c r="AJ11" s="215"/>
      <c r="AK11" s="215"/>
      <c r="AL11" s="215"/>
      <c r="AM11" s="215"/>
      <c r="AN11" s="215"/>
      <c r="AO11" s="215"/>
      <c r="AP11" s="215"/>
      <c r="AQ11" s="215"/>
      <c r="AR11" s="215"/>
      <c r="AS11" s="215"/>
      <c r="AT11" s="215"/>
      <c r="AU11" s="215"/>
      <c r="AV11" s="215"/>
      <c r="AW11" s="215"/>
      <c r="AX11" s="215"/>
      <c r="AY11" s="215"/>
      <c r="AZ11" s="215"/>
      <c r="BA11" s="215"/>
      <c r="BB11" s="215"/>
      <c r="BC11" s="215"/>
      <c r="BD11" s="215"/>
      <c r="BE11" s="215"/>
      <c r="BF11" s="215"/>
      <c r="BG11" s="215"/>
      <c r="BH11" s="215"/>
      <c r="BI11" s="215"/>
      <c r="BJ11" s="215"/>
      <c r="BK11" s="215"/>
      <c r="BL11" s="215"/>
      <c r="BM11" s="215"/>
      <c r="BN11" s="215" t="s">
        <v>132</v>
      </c>
      <c r="BO11" s="215"/>
      <c r="BP11" s="215"/>
      <c r="BQ11" s="215"/>
      <c r="BR11" s="215"/>
      <c r="BS11" s="215"/>
      <c r="BT11" s="215"/>
      <c r="BU11" s="215"/>
      <c r="BV11" s="215"/>
      <c r="BW11" s="215"/>
      <c r="BX11" s="215"/>
      <c r="BY11" s="215"/>
      <c r="BZ11" s="215"/>
      <c r="CA11" s="215"/>
      <c r="CB11" s="215"/>
      <c r="CC11" s="215"/>
      <c r="CD11" s="215"/>
      <c r="CE11" s="215"/>
      <c r="CF11" s="215"/>
      <c r="CG11" s="215"/>
      <c r="CH11" s="215"/>
      <c r="CI11" s="215"/>
      <c r="CJ11" s="215"/>
      <c r="CK11" s="215"/>
      <c r="CL11" s="215"/>
      <c r="CM11" s="215"/>
      <c r="CN11" s="215"/>
      <c r="CO11" s="215"/>
      <c r="CP11" s="215"/>
      <c r="CQ11" s="215"/>
      <c r="CR11" s="215"/>
      <c r="CS11" s="215"/>
      <c r="CT11" s="215"/>
      <c r="CU11" s="215"/>
      <c r="CV11" s="215"/>
      <c r="CW11" s="215"/>
      <c r="CX11" s="215"/>
      <c r="CY11" s="215"/>
      <c r="CZ11" s="215"/>
      <c r="DA11" s="215"/>
      <c r="DB11" s="215"/>
      <c r="DC11" s="215"/>
      <c r="DD11" s="215"/>
      <c r="DE11" s="215"/>
      <c r="DF11" s="215"/>
      <c r="DG11" s="215"/>
      <c r="DH11" s="215"/>
      <c r="DI11" s="215"/>
      <c r="DJ11" s="215"/>
      <c r="DK11" s="215"/>
      <c r="DL11" s="215"/>
      <c r="DM11" s="215"/>
      <c r="DN11" s="215"/>
      <c r="DO11" s="215"/>
      <c r="DP11" s="215"/>
      <c r="DQ11" s="215"/>
      <c r="DR11" s="215"/>
      <c r="DS11" s="215"/>
      <c r="DT11" s="215"/>
      <c r="DU11" s="215"/>
      <c r="DV11" s="196" t="s">
        <v>132</v>
      </c>
      <c r="DW11" s="196"/>
      <c r="DX11" s="196"/>
      <c r="DY11" s="196"/>
      <c r="DZ11" s="196"/>
      <c r="EA11" s="196"/>
      <c r="EB11" s="196"/>
      <c r="EC11" s="196"/>
      <c r="ED11" s="196"/>
      <c r="EE11" s="196"/>
      <c r="EF11" s="196"/>
      <c r="EG11" s="196"/>
      <c r="EH11" s="196"/>
      <c r="EI11" s="196"/>
      <c r="EJ11" s="196"/>
      <c r="EK11" s="196"/>
      <c r="EL11" s="196"/>
      <c r="EM11" s="196"/>
      <c r="EN11" s="196"/>
      <c r="EO11" s="196"/>
      <c r="EP11" s="196"/>
      <c r="EQ11" s="196"/>
      <c r="ER11" s="196"/>
      <c r="ES11" s="196"/>
      <c r="ET11" s="196"/>
      <c r="EU11" s="196"/>
      <c r="EV11" s="196"/>
      <c r="EW11" s="196"/>
      <c r="EX11" s="196"/>
      <c r="EY11" s="196"/>
      <c r="EZ11" s="196"/>
      <c r="FA11" s="196"/>
      <c r="FB11" s="196"/>
      <c r="FC11" s="196"/>
      <c r="FD11" s="196"/>
      <c r="FE11" s="196"/>
      <c r="FF11" s="196"/>
      <c r="FG11" s="196"/>
      <c r="FH11" s="196"/>
      <c r="FI11" s="196"/>
      <c r="FJ11" s="196"/>
      <c r="FK11" s="196"/>
      <c r="FL11" s="196"/>
      <c r="FM11" s="196"/>
      <c r="FN11" s="196"/>
      <c r="FO11" s="196"/>
      <c r="FP11" s="196"/>
      <c r="FQ11" s="196"/>
      <c r="FR11" s="196"/>
      <c r="FS11" s="196"/>
      <c r="FT11" s="196"/>
      <c r="FU11" s="196"/>
      <c r="FV11" s="196"/>
      <c r="FW11" s="196"/>
      <c r="FX11" s="196"/>
      <c r="FY11" s="196"/>
      <c r="FZ11" s="196"/>
      <c r="GA11" s="196"/>
      <c r="GB11" s="196"/>
      <c r="GC11" s="196"/>
      <c r="GD11" s="196" t="s">
        <v>130</v>
      </c>
      <c r="GE11" s="196"/>
      <c r="GF11" s="196"/>
      <c r="GG11" s="196"/>
      <c r="GH11" s="196"/>
      <c r="GI11" s="196"/>
      <c r="GJ11" s="196"/>
      <c r="GK11" s="196"/>
      <c r="GL11" s="196"/>
      <c r="GM11" s="196"/>
      <c r="GN11" s="196"/>
      <c r="GO11" s="196"/>
      <c r="GP11" s="196"/>
      <c r="GQ11" s="196"/>
      <c r="GR11" s="196"/>
      <c r="GS11" s="196"/>
      <c r="GT11" s="196"/>
      <c r="GU11" s="196"/>
      <c r="GV11" s="196"/>
      <c r="GW11" s="196"/>
      <c r="GX11" s="196"/>
      <c r="GY11" s="196"/>
      <c r="GZ11" s="196"/>
      <c r="HA11" s="196"/>
      <c r="HB11" s="196"/>
      <c r="HC11" s="196"/>
      <c r="HD11" s="196"/>
      <c r="HE11" s="196"/>
      <c r="HF11" s="196"/>
      <c r="HG11" s="196"/>
      <c r="HH11" s="196"/>
      <c r="HI11" s="196"/>
      <c r="HJ11" s="196"/>
      <c r="HK11" s="196"/>
      <c r="HL11" s="196"/>
      <c r="HM11" s="196"/>
      <c r="HN11" s="196"/>
      <c r="HO11" s="196"/>
      <c r="HP11" s="196"/>
      <c r="HQ11" s="196"/>
      <c r="HR11" s="196"/>
      <c r="HS11" s="196"/>
      <c r="HT11" s="196"/>
      <c r="HU11" s="196"/>
      <c r="HV11" s="196"/>
      <c r="HW11" s="196"/>
      <c r="HX11" s="196"/>
      <c r="HY11" s="196"/>
      <c r="HZ11" s="196"/>
      <c r="IA11" s="196"/>
      <c r="IB11" s="196"/>
      <c r="IC11" s="196"/>
      <c r="ID11" s="196"/>
      <c r="IE11" s="196"/>
      <c r="IF11" s="196"/>
      <c r="IG11" s="196"/>
      <c r="IH11" s="196"/>
      <c r="II11" s="196"/>
      <c r="IJ11" s="196"/>
      <c r="IK11" s="196"/>
      <c r="IL11" s="196" t="s">
        <v>130</v>
      </c>
      <c r="IM11" s="196"/>
      <c r="IN11" s="196"/>
      <c r="IO11" s="196"/>
      <c r="IP11" s="196"/>
      <c r="IQ11" s="196"/>
      <c r="IR11" s="196"/>
      <c r="IS11" s="196"/>
      <c r="IT11" s="196"/>
      <c r="IU11" s="196"/>
      <c r="IV11" s="196"/>
      <c r="IW11" s="196"/>
      <c r="IX11" s="196"/>
      <c r="IY11" s="196"/>
      <c r="IZ11" s="196"/>
      <c r="JA11" s="196"/>
      <c r="JB11" s="196"/>
      <c r="JC11" s="196"/>
      <c r="JD11" s="196"/>
      <c r="JE11" s="196"/>
      <c r="JF11" s="196"/>
      <c r="JG11" s="196"/>
      <c r="JH11" s="196"/>
      <c r="JI11" s="196"/>
      <c r="JJ11" s="196"/>
      <c r="JK11" s="196"/>
      <c r="JL11" s="196"/>
      <c r="JM11" s="196"/>
      <c r="JN11" s="196"/>
      <c r="JO11" s="196"/>
      <c r="JP11" s="196"/>
      <c r="JQ11" s="196"/>
      <c r="JR11" s="196"/>
      <c r="JS11" s="196"/>
      <c r="JT11" s="196"/>
      <c r="JU11" s="196"/>
      <c r="JV11" s="196"/>
      <c r="JW11" s="196"/>
      <c r="JX11" s="196"/>
      <c r="JY11" s="196"/>
      <c r="JZ11" s="196"/>
      <c r="KA11" s="196"/>
      <c r="KB11" s="196"/>
      <c r="KC11" s="196"/>
      <c r="KD11" s="196"/>
      <c r="KE11" s="196"/>
      <c r="KF11" s="196"/>
      <c r="KG11" s="196"/>
      <c r="KH11" s="196"/>
      <c r="KI11" s="196"/>
      <c r="KJ11" s="196"/>
      <c r="KK11" s="196"/>
      <c r="KL11" s="196"/>
      <c r="KM11" s="196"/>
      <c r="KN11" s="196"/>
      <c r="KO11" s="196"/>
      <c r="KP11" s="196"/>
      <c r="KQ11" s="196"/>
      <c r="KR11" s="196"/>
      <c r="KS11" s="196"/>
      <c r="KT11" s="196" t="s">
        <v>127</v>
      </c>
      <c r="KU11" s="196"/>
      <c r="KV11" s="196"/>
      <c r="KW11" s="196"/>
      <c r="KX11" s="196"/>
      <c r="KY11" s="196"/>
      <c r="KZ11" s="196"/>
      <c r="LA11" s="196"/>
      <c r="LB11" s="196"/>
      <c r="LC11" s="196"/>
      <c r="LD11" s="196"/>
      <c r="LE11" s="196"/>
      <c r="LF11" s="196"/>
      <c r="LG11" s="196"/>
      <c r="LH11" s="196"/>
      <c r="LI11" s="196"/>
      <c r="LJ11" s="196"/>
      <c r="LK11" s="196"/>
      <c r="LL11" s="196"/>
      <c r="LM11" s="196"/>
      <c r="LN11" s="196"/>
      <c r="LO11" s="196"/>
      <c r="LP11" s="196"/>
      <c r="LQ11" s="196"/>
      <c r="LR11" s="196"/>
      <c r="LS11" s="196"/>
      <c r="LT11" s="196"/>
      <c r="LU11" s="196"/>
      <c r="LV11" s="196"/>
      <c r="LW11" s="196"/>
      <c r="LX11" s="196"/>
      <c r="LY11" s="196"/>
      <c r="LZ11" s="196"/>
      <c r="MA11" s="196"/>
      <c r="MB11" s="196"/>
      <c r="MC11" s="196"/>
      <c r="MD11" s="196"/>
      <c r="ME11" s="196"/>
      <c r="MF11" s="196"/>
      <c r="MG11" s="196"/>
      <c r="MH11" s="196"/>
      <c r="MI11" s="196"/>
      <c r="MJ11" s="196"/>
      <c r="MK11" s="196"/>
      <c r="ML11" s="196"/>
      <c r="MM11" s="196"/>
      <c r="MN11" s="196"/>
      <c r="MO11" s="196"/>
      <c r="MP11" s="196"/>
      <c r="MQ11" s="196"/>
      <c r="MR11" s="196"/>
      <c r="MS11" s="196"/>
      <c r="MT11" s="196"/>
      <c r="MU11" s="196"/>
      <c r="MV11" s="196"/>
      <c r="MW11" s="196"/>
      <c r="MX11" s="196"/>
      <c r="MY11" s="196"/>
      <c r="MZ11" s="196"/>
      <c r="NA11" s="196"/>
      <c r="NB11" s="196" t="s">
        <v>127</v>
      </c>
      <c r="NC11" s="196"/>
      <c r="ND11" s="196"/>
      <c r="NE11" s="196"/>
      <c r="NF11" s="196"/>
      <c r="NG11" s="196"/>
      <c r="NH11" s="196"/>
      <c r="NI11" s="196"/>
      <c r="NJ11" s="196"/>
      <c r="NK11" s="196"/>
      <c r="NL11" s="196"/>
      <c r="NM11" s="196"/>
      <c r="NN11" s="196"/>
      <c r="NO11" s="196"/>
      <c r="NP11" s="196"/>
      <c r="NQ11" s="196"/>
      <c r="NR11" s="196"/>
      <c r="NS11" s="196"/>
      <c r="NT11" s="196"/>
      <c r="NU11" s="196"/>
      <c r="NV11" s="196"/>
      <c r="NW11" s="196"/>
      <c r="NX11" s="196"/>
      <c r="NY11" s="196"/>
      <c r="NZ11" s="196"/>
      <c r="OA11" s="196"/>
      <c r="OB11" s="196"/>
      <c r="OC11" s="196"/>
      <c r="OD11" s="196"/>
      <c r="OE11" s="196"/>
      <c r="OF11" s="196"/>
      <c r="OG11" s="196"/>
      <c r="OH11" s="196"/>
      <c r="OI11" s="196"/>
      <c r="OJ11" s="196"/>
      <c r="OK11" s="196"/>
      <c r="OL11" s="196"/>
      <c r="OM11" s="196"/>
      <c r="ON11" s="196"/>
      <c r="OO11" s="196"/>
      <c r="OP11" s="196"/>
      <c r="OQ11" s="196"/>
      <c r="OR11" s="196"/>
      <c r="OS11" s="196"/>
      <c r="OT11" s="196"/>
      <c r="OU11" s="196"/>
      <c r="OV11" s="196"/>
      <c r="OW11" s="196"/>
      <c r="OX11" s="196"/>
      <c r="OY11" s="196"/>
      <c r="OZ11" s="196"/>
      <c r="PA11" s="196"/>
      <c r="PB11" s="196"/>
      <c r="PC11" s="196"/>
      <c r="PD11" s="196"/>
      <c r="PE11" s="196"/>
      <c r="PF11" s="196"/>
      <c r="PG11" s="196"/>
      <c r="PH11" s="196"/>
      <c r="PI11" s="196"/>
      <c r="PJ11" s="196" t="s">
        <v>125</v>
      </c>
      <c r="PK11" s="196"/>
      <c r="PL11" s="196"/>
      <c r="PM11" s="196"/>
      <c r="PN11" s="196"/>
      <c r="PO11" s="196"/>
      <c r="PP11" s="196"/>
      <c r="PQ11" s="196"/>
      <c r="PR11" s="196"/>
      <c r="PS11" s="196"/>
      <c r="PT11" s="196"/>
      <c r="PU11" s="196"/>
      <c r="PV11" s="196"/>
      <c r="PW11" s="196"/>
      <c r="PX11" s="196"/>
      <c r="PY11" s="196"/>
      <c r="PZ11" s="196"/>
      <c r="QA11" s="196"/>
      <c r="QB11" s="196"/>
      <c r="QC11" s="196"/>
      <c r="QD11" s="196"/>
      <c r="QE11" s="196"/>
      <c r="QF11" s="196"/>
      <c r="QG11" s="196"/>
      <c r="QH11" s="196"/>
      <c r="QI11" s="196"/>
      <c r="QJ11" s="196"/>
      <c r="QK11" s="196"/>
      <c r="QL11" s="196"/>
      <c r="QM11" s="196"/>
      <c r="QN11" s="196"/>
      <c r="QO11" s="196"/>
      <c r="QP11" s="196"/>
      <c r="QQ11" s="196"/>
      <c r="QR11" s="196"/>
      <c r="QS11" s="196"/>
      <c r="QT11" s="196"/>
      <c r="QU11" s="196"/>
      <c r="QV11" s="196"/>
      <c r="QW11" s="196"/>
      <c r="QX11" s="196"/>
      <c r="QY11" s="196"/>
      <c r="QZ11" s="196"/>
      <c r="RA11" s="196"/>
      <c r="RB11" s="196"/>
      <c r="RC11" s="196"/>
      <c r="RD11" s="196"/>
      <c r="RE11" s="196"/>
      <c r="RF11" s="196"/>
      <c r="RG11" s="196"/>
      <c r="RH11" s="196"/>
      <c r="RI11" s="196"/>
      <c r="RJ11" s="196"/>
      <c r="RK11" s="196"/>
      <c r="RL11" s="196"/>
      <c r="RM11" s="196"/>
      <c r="RN11" s="196"/>
      <c r="RO11" s="196"/>
      <c r="RP11" s="196"/>
      <c r="RQ11" s="196"/>
      <c r="RR11" s="196" t="s">
        <v>122</v>
      </c>
      <c r="RS11" s="196"/>
      <c r="RT11" s="196"/>
      <c r="RU11" s="196"/>
      <c r="RV11" s="196"/>
      <c r="RW11" s="196"/>
      <c r="RX11" s="196"/>
      <c r="RY11" s="196"/>
      <c r="RZ11" s="196"/>
      <c r="SA11" s="196"/>
      <c r="SB11" s="196"/>
      <c r="SC11" s="196"/>
      <c r="SD11" s="196"/>
      <c r="SE11" s="196"/>
      <c r="SF11" s="196"/>
      <c r="SG11" s="196"/>
      <c r="SH11" s="196"/>
      <c r="SI11" s="196"/>
      <c r="SJ11" s="196"/>
      <c r="SK11" s="196"/>
      <c r="SL11" s="196"/>
      <c r="SM11" s="196"/>
      <c r="SN11" s="196"/>
      <c r="SO11" s="196"/>
      <c r="SP11" s="196"/>
      <c r="SQ11" s="196"/>
      <c r="SR11" s="196"/>
      <c r="SS11" s="196"/>
      <c r="ST11" s="196"/>
      <c r="SU11" s="196"/>
      <c r="SV11" s="196"/>
      <c r="SW11" s="196"/>
      <c r="SX11" s="196"/>
      <c r="SY11" s="196"/>
      <c r="SZ11" s="196"/>
      <c r="TA11" s="196"/>
      <c r="TB11" s="196"/>
      <c r="TC11" s="196"/>
      <c r="TD11" s="196"/>
      <c r="TE11" s="196"/>
      <c r="TF11" s="196"/>
      <c r="TG11" s="196"/>
      <c r="TH11" s="196"/>
      <c r="TI11" s="196"/>
      <c r="TJ11" s="196"/>
      <c r="TK11" s="196"/>
      <c r="TL11" s="196"/>
      <c r="TM11" s="196"/>
      <c r="TN11" s="196"/>
      <c r="TO11" s="196"/>
      <c r="TP11" s="196"/>
      <c r="TQ11" s="196"/>
      <c r="TR11" s="196"/>
      <c r="TS11" s="196"/>
      <c r="TT11" s="196"/>
      <c r="TU11" s="196"/>
      <c r="TV11" s="196"/>
      <c r="TW11" s="196"/>
      <c r="TX11" s="196"/>
      <c r="TY11" s="196"/>
      <c r="TZ11" s="196" t="s">
        <v>122</v>
      </c>
      <c r="UA11" s="196"/>
      <c r="UB11" s="196"/>
      <c r="UC11" s="196"/>
      <c r="UD11" s="196"/>
      <c r="UE11" s="196"/>
      <c r="UF11" s="196"/>
      <c r="UG11" s="196"/>
      <c r="UH11" s="196"/>
      <c r="UI11" s="196"/>
      <c r="UJ11" s="196"/>
      <c r="UK11" s="196"/>
      <c r="UL11" s="196"/>
      <c r="UM11" s="196"/>
      <c r="UN11" s="196"/>
      <c r="UO11" s="196"/>
      <c r="UP11" s="196"/>
      <c r="UQ11" s="196"/>
      <c r="UR11" s="196"/>
      <c r="US11" s="196"/>
      <c r="UT11" s="196"/>
      <c r="UU11" s="196"/>
      <c r="UV11" s="196"/>
      <c r="UW11" s="196"/>
      <c r="UX11" s="196"/>
      <c r="UY11" s="196"/>
      <c r="UZ11" s="196"/>
      <c r="VA11" s="196"/>
      <c r="VB11" s="196"/>
      <c r="VC11" s="196"/>
      <c r="VD11" s="196"/>
      <c r="VE11" s="196"/>
      <c r="VF11" s="196"/>
      <c r="VG11" s="196"/>
      <c r="VH11" s="196"/>
      <c r="VI11" s="196"/>
      <c r="VJ11" s="196"/>
      <c r="VK11" s="196"/>
      <c r="VL11" s="196"/>
      <c r="VM11" s="196"/>
      <c r="VN11" s="196"/>
      <c r="VO11" s="196"/>
      <c r="VP11" s="196"/>
      <c r="VQ11" s="196"/>
      <c r="VR11" s="196"/>
      <c r="VS11" s="196"/>
      <c r="VT11" s="196"/>
      <c r="VU11" s="196"/>
      <c r="VV11" s="196"/>
      <c r="VW11" s="196"/>
      <c r="VX11" s="196"/>
      <c r="VY11" s="196"/>
      <c r="VZ11" s="196"/>
      <c r="WA11" s="196"/>
      <c r="WB11" s="196"/>
      <c r="WC11" s="196"/>
      <c r="WD11" s="196"/>
      <c r="WE11" s="196"/>
      <c r="WF11" s="196"/>
      <c r="WG11" s="196"/>
      <c r="WH11" s="196" t="s">
        <v>119</v>
      </c>
      <c r="WI11" s="196"/>
      <c r="WJ11" s="196"/>
      <c r="WK11" s="196"/>
      <c r="WL11" s="196"/>
      <c r="WM11" s="196"/>
      <c r="WN11" s="196"/>
      <c r="WO11" s="196"/>
      <c r="WP11" s="196"/>
      <c r="WQ11" s="196"/>
      <c r="WR11" s="196"/>
      <c r="WS11" s="196"/>
      <c r="WT11" s="196"/>
      <c r="WU11" s="196"/>
      <c r="WV11" s="196"/>
      <c r="WW11" s="196"/>
      <c r="WX11" s="196"/>
      <c r="WY11" s="196"/>
      <c r="WZ11" s="196"/>
      <c r="XA11" s="196"/>
      <c r="XB11" s="196"/>
      <c r="XC11" s="196"/>
      <c r="XD11" s="196"/>
      <c r="XE11" s="196"/>
      <c r="XF11" s="196"/>
      <c r="XG11" s="196"/>
      <c r="XH11" s="196"/>
      <c r="XI11" s="196"/>
      <c r="XJ11" s="196"/>
      <c r="XK11" s="196"/>
      <c r="XL11" s="196"/>
      <c r="XM11" s="196"/>
      <c r="XN11" s="196"/>
      <c r="XO11" s="196"/>
      <c r="XP11" s="196"/>
      <c r="XQ11" s="196"/>
      <c r="XR11" s="196"/>
      <c r="XS11" s="196"/>
      <c r="XT11" s="196"/>
      <c r="XU11" s="196"/>
      <c r="XV11" s="196"/>
      <c r="XW11" s="196"/>
      <c r="XX11" s="196"/>
      <c r="XY11" s="196"/>
      <c r="XZ11" s="196"/>
      <c r="YA11" s="196"/>
      <c r="YB11" s="196"/>
      <c r="YC11" s="196"/>
      <c r="YD11" s="196"/>
      <c r="YE11" s="196"/>
      <c r="YF11" s="196"/>
      <c r="YG11" s="196"/>
      <c r="YH11" s="196"/>
      <c r="YI11" s="196"/>
      <c r="YJ11" s="196"/>
      <c r="YK11" s="196"/>
      <c r="YL11" s="196"/>
      <c r="YM11" s="196"/>
      <c r="YN11" s="196"/>
      <c r="YO11" s="196"/>
      <c r="YP11" s="196" t="s">
        <v>119</v>
      </c>
      <c r="YQ11" s="196"/>
      <c r="YR11" s="196"/>
      <c r="YS11" s="196"/>
      <c r="YT11" s="196"/>
      <c r="YU11" s="196"/>
      <c r="YV11" s="196"/>
      <c r="YW11" s="196"/>
      <c r="YX11" s="196"/>
      <c r="YY11" s="196"/>
      <c r="YZ11" s="196"/>
      <c r="ZA11" s="196"/>
      <c r="ZB11" s="196"/>
      <c r="ZC11" s="196"/>
      <c r="ZD11" s="196"/>
      <c r="ZE11" s="196"/>
      <c r="ZF11" s="196"/>
      <c r="ZG11" s="196"/>
      <c r="ZH11" s="196"/>
      <c r="ZI11" s="196"/>
      <c r="ZJ11" s="196"/>
      <c r="ZK11" s="196"/>
      <c r="ZL11" s="196"/>
      <c r="ZM11" s="196"/>
      <c r="ZN11" s="196"/>
      <c r="ZO11" s="196"/>
      <c r="ZP11" s="196"/>
      <c r="ZQ11" s="196"/>
      <c r="ZR11" s="196"/>
      <c r="ZS11" s="196"/>
      <c r="ZT11" s="196"/>
      <c r="ZU11" s="196"/>
      <c r="ZV11" s="196"/>
      <c r="ZW11" s="196"/>
      <c r="ZX11" s="196"/>
      <c r="ZY11" s="196"/>
      <c r="ZZ11" s="196"/>
      <c r="AAA11" s="196"/>
      <c r="AAB11" s="196"/>
      <c r="AAC11" s="196"/>
      <c r="AAD11" s="196"/>
      <c r="AAE11" s="196"/>
      <c r="AAF11" s="196"/>
      <c r="AAG11" s="196"/>
      <c r="AAH11" s="196"/>
      <c r="AAI11" s="196"/>
      <c r="AAJ11" s="196"/>
      <c r="AAK11" s="196"/>
      <c r="AAL11" s="196"/>
      <c r="AAM11" s="196"/>
      <c r="AAN11" s="196"/>
      <c r="AAO11" s="196"/>
      <c r="AAP11" s="196"/>
      <c r="AAQ11" s="196"/>
      <c r="AAR11" s="196"/>
      <c r="AAS11" s="196"/>
      <c r="AAT11" s="196"/>
      <c r="AAU11" s="196"/>
      <c r="AAV11" s="196"/>
      <c r="AAW11" s="196"/>
      <c r="AAX11" s="196" t="s">
        <v>116</v>
      </c>
      <c r="AAY11" s="196"/>
      <c r="AAZ11" s="196"/>
      <c r="ABA11" s="196"/>
      <c r="ABB11" s="196"/>
      <c r="ABC11" s="196"/>
      <c r="ABD11" s="196"/>
      <c r="ABE11" s="196"/>
      <c r="ABF11" s="196"/>
      <c r="ABG11" s="196"/>
      <c r="ABH11" s="196"/>
      <c r="ABI11" s="196"/>
      <c r="ABJ11" s="196"/>
      <c r="ABK11" s="196"/>
      <c r="ABL11" s="196"/>
      <c r="ABM11" s="196"/>
      <c r="ABN11" s="196"/>
      <c r="ABO11" s="196"/>
      <c r="ABP11" s="196"/>
      <c r="ABQ11" s="196"/>
      <c r="ABR11" s="196"/>
      <c r="ABS11" s="196"/>
      <c r="ABT11" s="196"/>
      <c r="ABU11" s="196"/>
      <c r="ABV11" s="196"/>
      <c r="ABW11" s="196"/>
      <c r="ABX11" s="196"/>
      <c r="ABY11" s="196"/>
      <c r="ABZ11" s="196"/>
      <c r="ACA11" s="196"/>
      <c r="ACB11" s="196"/>
      <c r="ACC11" s="196"/>
      <c r="ACD11" s="196"/>
      <c r="ACE11" s="196"/>
      <c r="ACF11" s="196"/>
      <c r="ACG11" s="196"/>
      <c r="ACH11" s="196"/>
      <c r="ACI11" s="196"/>
      <c r="ACJ11" s="196"/>
      <c r="ACK11" s="196"/>
      <c r="ACL11" s="196"/>
      <c r="ACM11" s="196"/>
      <c r="ACN11" s="196"/>
      <c r="ACO11" s="196"/>
      <c r="ACP11" s="196"/>
      <c r="ACQ11" s="196"/>
      <c r="ACR11" s="196"/>
      <c r="ACS11" s="196"/>
      <c r="ACT11" s="196"/>
      <c r="ACU11" s="196"/>
      <c r="ACV11" s="196"/>
      <c r="ACW11" s="196"/>
      <c r="ACX11" s="196"/>
      <c r="ACY11" s="196"/>
      <c r="ACZ11" s="196"/>
      <c r="ADA11" s="196"/>
      <c r="ADB11" s="196"/>
      <c r="ADC11" s="196"/>
      <c r="ADD11" s="196"/>
      <c r="ADE11" s="196"/>
      <c r="ADF11" s="196" t="s">
        <v>116</v>
      </c>
      <c r="ADG11" s="196"/>
      <c r="ADH11" s="196"/>
      <c r="ADI11" s="196"/>
      <c r="ADJ11" s="196"/>
      <c r="ADK11" s="196"/>
      <c r="ADL11" s="196"/>
      <c r="ADM11" s="196"/>
      <c r="ADN11" s="196"/>
      <c r="ADO11" s="196"/>
      <c r="ADP11" s="196"/>
      <c r="ADQ11" s="196"/>
      <c r="ADR11" s="196"/>
      <c r="ADS11" s="196"/>
      <c r="ADT11" s="196"/>
      <c r="ADU11" s="196"/>
      <c r="ADV11" s="196"/>
      <c r="ADW11" s="196"/>
      <c r="ADX11" s="196"/>
      <c r="ADY11" s="196"/>
      <c r="ADZ11" s="196"/>
      <c r="AEA11" s="196"/>
      <c r="AEB11" s="196"/>
      <c r="AEC11" s="196"/>
      <c r="AED11" s="196"/>
      <c r="AEE11" s="196"/>
      <c r="AEF11" s="196"/>
      <c r="AEG11" s="196"/>
      <c r="AEH11" s="196"/>
      <c r="AEI11" s="196"/>
      <c r="AEJ11" s="196"/>
      <c r="AEK11" s="196"/>
      <c r="AEL11" s="196"/>
      <c r="AEM11" s="196"/>
      <c r="AEN11" s="196"/>
      <c r="AEO11" s="196"/>
      <c r="AEP11" s="196"/>
      <c r="AEQ11" s="196"/>
      <c r="AER11" s="196"/>
      <c r="AES11" s="196"/>
      <c r="AET11" s="196"/>
      <c r="AEU11" s="196"/>
      <c r="AEV11" s="196"/>
      <c r="AEW11" s="196"/>
      <c r="AEX11" s="196"/>
      <c r="AEY11" s="196"/>
      <c r="AEZ11" s="196"/>
      <c r="AFA11" s="196"/>
      <c r="AFB11" s="196"/>
      <c r="AFC11" s="196"/>
      <c r="AFD11" s="196"/>
      <c r="AFE11" s="196"/>
      <c r="AFF11" s="196"/>
      <c r="AFG11" s="196"/>
      <c r="AFH11" s="196"/>
      <c r="AFI11" s="196"/>
      <c r="AFJ11" s="196"/>
      <c r="AFK11" s="196"/>
      <c r="AFL11" s="196"/>
      <c r="AFM11" s="196"/>
      <c r="AFN11" s="196" t="s">
        <v>114</v>
      </c>
      <c r="AFO11" s="196"/>
      <c r="AFP11" s="196"/>
      <c r="AFQ11" s="196"/>
      <c r="AFR11" s="196"/>
      <c r="AFS11" s="196"/>
      <c r="AFT11" s="196"/>
      <c r="AFU11" s="196"/>
      <c r="AFV11" s="196"/>
      <c r="AFW11" s="196"/>
      <c r="AFX11" s="196"/>
      <c r="AFY11" s="196"/>
      <c r="AFZ11" s="196"/>
      <c r="AGA11" s="196"/>
      <c r="AGB11" s="196"/>
      <c r="AGC11" s="196"/>
      <c r="AGD11" s="196"/>
      <c r="AGE11" s="196"/>
      <c r="AGF11" s="196"/>
      <c r="AGG11" s="196"/>
      <c r="AGH11" s="196"/>
      <c r="AGI11" s="196"/>
      <c r="AGJ11" s="196"/>
      <c r="AGK11" s="196"/>
      <c r="AGL11" s="196"/>
      <c r="AGM11" s="196"/>
      <c r="AGN11" s="196"/>
      <c r="AGO11" s="196"/>
      <c r="AGP11" s="196"/>
      <c r="AGQ11" s="196"/>
      <c r="AGR11" s="196"/>
      <c r="AGS11" s="196"/>
      <c r="AGT11" s="196"/>
      <c r="AGU11" s="196"/>
      <c r="AGV11" s="196"/>
      <c r="AGW11" s="196"/>
      <c r="AGX11" s="196"/>
      <c r="AGY11" s="196"/>
      <c r="AGZ11" s="196"/>
      <c r="AHA11" s="196"/>
      <c r="AHB11" s="196"/>
      <c r="AHC11" s="196"/>
      <c r="AHD11" s="196"/>
      <c r="AHE11" s="196"/>
      <c r="AHF11" s="196"/>
      <c r="AHG11" s="196"/>
      <c r="AHH11" s="196"/>
      <c r="AHI11" s="196"/>
      <c r="AHJ11" s="196"/>
      <c r="AHK11" s="196"/>
      <c r="AHL11" s="196"/>
      <c r="AHM11" s="196"/>
      <c r="AHN11" s="196"/>
      <c r="AHO11" s="196"/>
      <c r="AHP11" s="196"/>
      <c r="AHQ11" s="196"/>
      <c r="AHR11" s="196"/>
      <c r="AHS11" s="196"/>
      <c r="AHT11" s="196"/>
      <c r="AHU11" s="196"/>
      <c r="AHV11" s="196" t="s">
        <v>111</v>
      </c>
      <c r="AHW11" s="196"/>
      <c r="AHX11" s="196"/>
      <c r="AHY11" s="196"/>
      <c r="AHZ11" s="196"/>
      <c r="AIA11" s="196"/>
      <c r="AIB11" s="196"/>
      <c r="AIC11" s="196"/>
      <c r="AID11" s="196"/>
      <c r="AIE11" s="196"/>
      <c r="AIF11" s="196"/>
      <c r="AIG11" s="196"/>
      <c r="AIH11" s="196"/>
      <c r="AII11" s="196"/>
      <c r="AIJ11" s="196"/>
      <c r="AIK11" s="196"/>
      <c r="AIL11" s="196"/>
      <c r="AIM11" s="196"/>
      <c r="AIN11" s="196"/>
      <c r="AIO11" s="196"/>
      <c r="AIP11" s="196"/>
      <c r="AIQ11" s="196"/>
      <c r="AIR11" s="196"/>
      <c r="AIS11" s="196"/>
      <c r="AIT11" s="196"/>
      <c r="AIU11" s="196"/>
      <c r="AIV11" s="196"/>
      <c r="AIW11" s="196"/>
      <c r="AIX11" s="196"/>
      <c r="AIY11" s="196"/>
      <c r="AIZ11" s="196"/>
      <c r="AJA11" s="196"/>
      <c r="AJB11" s="196"/>
      <c r="AJC11" s="196"/>
      <c r="AJD11" s="196"/>
      <c r="AJE11" s="196"/>
      <c r="AJF11" s="196"/>
      <c r="AJG11" s="196"/>
      <c r="AJH11" s="196"/>
      <c r="AJI11" s="196"/>
      <c r="AJJ11" s="196"/>
      <c r="AJK11" s="196"/>
      <c r="AJL11" s="196"/>
      <c r="AJM11" s="196"/>
      <c r="AJN11" s="196"/>
      <c r="AJO11" s="196"/>
      <c r="AJP11" s="196"/>
      <c r="AJQ11" s="196"/>
      <c r="AJR11" s="196"/>
      <c r="AJS11" s="196"/>
      <c r="AJT11" s="196"/>
      <c r="AJU11" s="196"/>
      <c r="AJV11" s="196"/>
      <c r="AJW11" s="196"/>
      <c r="AJX11" s="196"/>
      <c r="AJY11" s="196"/>
      <c r="AJZ11" s="196"/>
      <c r="AKA11" s="196"/>
      <c r="AKB11" s="196"/>
      <c r="AKC11" s="196"/>
      <c r="AKD11" s="196" t="s">
        <v>111</v>
      </c>
      <c r="AKE11" s="196"/>
      <c r="AKF11" s="196"/>
      <c r="AKG11" s="196"/>
      <c r="AKH11" s="196"/>
      <c r="AKI11" s="196"/>
      <c r="AKJ11" s="196"/>
      <c r="AKK11" s="196"/>
      <c r="AKL11" s="196"/>
      <c r="AKM11" s="196"/>
      <c r="AKN11" s="196"/>
      <c r="AKO11" s="196"/>
      <c r="AKP11" s="196"/>
      <c r="AKQ11" s="196"/>
      <c r="AKR11" s="196"/>
      <c r="AKS11" s="196"/>
      <c r="AKT11" s="196"/>
      <c r="AKU11" s="196"/>
      <c r="AKV11" s="196"/>
      <c r="AKW11" s="196"/>
      <c r="AKX11" s="196"/>
      <c r="AKY11" s="196"/>
      <c r="AKZ11" s="196"/>
      <c r="ALA11" s="196"/>
      <c r="ALB11" s="196"/>
      <c r="ALC11" s="196"/>
      <c r="ALD11" s="196"/>
      <c r="ALE11" s="196"/>
      <c r="ALF11" s="196"/>
      <c r="ALG11" s="196"/>
      <c r="ALH11" s="196"/>
      <c r="ALI11" s="196"/>
      <c r="ALJ11" s="196"/>
      <c r="ALK11" s="196"/>
      <c r="ALL11" s="196"/>
      <c r="ALM11" s="196"/>
      <c r="ALN11" s="196"/>
      <c r="ALO11" s="196"/>
      <c r="ALP11" s="196"/>
      <c r="ALQ11" s="196"/>
      <c r="ALR11" s="196"/>
      <c r="ALS11" s="196"/>
      <c r="ALT11" s="196"/>
      <c r="ALU11" s="196"/>
      <c r="ALV11" s="196"/>
      <c r="ALW11" s="196"/>
      <c r="ALX11" s="196"/>
      <c r="ALY11" s="196"/>
      <c r="ALZ11" s="196"/>
      <c r="AMA11" s="196"/>
      <c r="AMB11" s="196"/>
      <c r="AMC11" s="196"/>
      <c r="AMD11" s="196"/>
      <c r="AME11" s="196"/>
      <c r="AMF11" s="196"/>
      <c r="AMG11" s="196"/>
      <c r="AMH11" s="196"/>
      <c r="AMI11" s="196"/>
      <c r="AMJ11" s="196"/>
      <c r="AMK11" s="196"/>
      <c r="AML11" s="196" t="s">
        <v>108</v>
      </c>
      <c r="AMM11" s="196"/>
      <c r="AMN11" s="196"/>
      <c r="AMO11" s="196"/>
      <c r="AMP11" s="196"/>
      <c r="AMQ11" s="196"/>
      <c r="AMR11" s="196"/>
      <c r="AMS11" s="196"/>
      <c r="AMT11" s="196"/>
      <c r="AMU11" s="196"/>
      <c r="AMV11" s="196"/>
      <c r="AMW11" s="196"/>
      <c r="AMX11" s="196"/>
      <c r="AMY11" s="196"/>
      <c r="AMZ11" s="196"/>
      <c r="ANA11" s="196"/>
      <c r="ANB11" s="196"/>
      <c r="ANC11" s="196"/>
      <c r="AND11" s="196"/>
      <c r="ANE11" s="196"/>
      <c r="ANF11" s="196"/>
      <c r="ANG11" s="196"/>
      <c r="ANH11" s="196"/>
      <c r="ANI11" s="196"/>
      <c r="ANJ11" s="196"/>
      <c r="ANK11" s="196"/>
      <c r="ANL11" s="196"/>
      <c r="ANM11" s="196"/>
      <c r="ANN11" s="196"/>
      <c r="ANO11" s="196"/>
      <c r="ANP11" s="196"/>
      <c r="ANQ11" s="196"/>
      <c r="ANR11" s="196"/>
      <c r="ANS11" s="196"/>
      <c r="ANT11" s="196"/>
      <c r="ANU11" s="196"/>
      <c r="ANV11" s="196"/>
      <c r="ANW11" s="196"/>
      <c r="ANX11" s="196"/>
      <c r="ANY11" s="196"/>
      <c r="ANZ11" s="196"/>
      <c r="AOA11" s="196"/>
      <c r="AOB11" s="196"/>
      <c r="AOC11" s="196"/>
      <c r="AOD11" s="196"/>
      <c r="AOE11" s="196"/>
      <c r="AOF11" s="196"/>
      <c r="AOG11" s="196"/>
      <c r="AOH11" s="196"/>
      <c r="AOI11" s="196"/>
      <c r="AOJ11" s="196"/>
      <c r="AOK11" s="196"/>
      <c r="AOL11" s="196"/>
      <c r="AOM11" s="196"/>
      <c r="AON11" s="196"/>
      <c r="AOO11" s="196"/>
      <c r="AOP11" s="196"/>
      <c r="AOQ11" s="196"/>
      <c r="AOR11" s="196"/>
      <c r="AOS11" s="196"/>
      <c r="AOT11" s="196" t="s">
        <v>108</v>
      </c>
      <c r="AOU11" s="196"/>
      <c r="AOV11" s="196"/>
      <c r="AOW11" s="196"/>
      <c r="AOX11" s="196"/>
      <c r="AOY11" s="196"/>
      <c r="AOZ11" s="196"/>
      <c r="APA11" s="196"/>
      <c r="APB11" s="196"/>
      <c r="APC11" s="196"/>
      <c r="APD11" s="196"/>
      <c r="APE11" s="196"/>
      <c r="APF11" s="196"/>
      <c r="APG11" s="196"/>
      <c r="APH11" s="196"/>
      <c r="API11" s="196"/>
      <c r="APJ11" s="196"/>
      <c r="APK11" s="196"/>
      <c r="APL11" s="196"/>
      <c r="APM11" s="196"/>
      <c r="APN11" s="196"/>
      <c r="APO11" s="196"/>
      <c r="APP11" s="196"/>
      <c r="APQ11" s="196"/>
      <c r="APR11" s="196"/>
      <c r="APS11" s="196"/>
      <c r="APT11" s="196"/>
      <c r="APU11" s="196"/>
      <c r="APV11" s="196"/>
      <c r="APW11" s="196"/>
      <c r="APX11" s="196"/>
      <c r="APY11" s="196"/>
      <c r="APZ11" s="196"/>
      <c r="AQA11" s="196"/>
      <c r="AQB11" s="196"/>
      <c r="AQC11" s="196"/>
      <c r="AQD11" s="196"/>
      <c r="AQE11" s="196"/>
      <c r="AQF11" s="196"/>
      <c r="AQG11" s="196"/>
      <c r="AQH11" s="196"/>
      <c r="AQI11" s="196"/>
      <c r="AQJ11" s="196"/>
      <c r="AQK11" s="196"/>
      <c r="AQL11" s="196"/>
      <c r="AQM11" s="196"/>
      <c r="AQN11" s="196"/>
      <c r="AQO11" s="196"/>
      <c r="AQP11" s="196"/>
      <c r="AQQ11" s="196"/>
      <c r="AQR11" s="196"/>
      <c r="AQS11" s="196"/>
      <c r="AQT11" s="196"/>
      <c r="AQU11" s="196"/>
      <c r="AQV11" s="196"/>
      <c r="AQW11" s="196"/>
      <c r="AQX11" s="196"/>
      <c r="AQY11" s="196"/>
      <c r="AQZ11" s="196"/>
      <c r="ARA11" s="196"/>
      <c r="ARB11" s="196" t="s">
        <v>105</v>
      </c>
      <c r="ARC11" s="196"/>
      <c r="ARD11" s="196"/>
      <c r="ARE11" s="196"/>
      <c r="ARF11" s="196"/>
      <c r="ARG11" s="196"/>
      <c r="ARH11" s="196"/>
      <c r="ARI11" s="196"/>
      <c r="ARJ11" s="196"/>
      <c r="ARK11" s="196"/>
      <c r="ARL11" s="196"/>
      <c r="ARM11" s="196"/>
      <c r="ARN11" s="196"/>
      <c r="ARO11" s="196"/>
      <c r="ARP11" s="196"/>
      <c r="ARQ11" s="196"/>
      <c r="ARR11" s="196"/>
      <c r="ARS11" s="196"/>
      <c r="ART11" s="196"/>
      <c r="ARU11" s="196"/>
      <c r="ARV11" s="196"/>
      <c r="ARW11" s="196"/>
      <c r="ARX11" s="196"/>
      <c r="ARY11" s="196"/>
      <c r="ARZ11" s="196"/>
      <c r="ASA11" s="196"/>
      <c r="ASB11" s="196"/>
      <c r="ASC11" s="196"/>
      <c r="ASD11" s="196"/>
      <c r="ASE11" s="196"/>
      <c r="ASF11" s="196"/>
      <c r="ASG11" s="196"/>
      <c r="ASH11" s="196"/>
      <c r="ASI11" s="196"/>
      <c r="ASJ11" s="196"/>
      <c r="ASK11" s="196"/>
      <c r="ASL11" s="196"/>
      <c r="ASM11" s="196"/>
      <c r="ASN11" s="196"/>
      <c r="ASO11" s="196"/>
      <c r="ASP11" s="196"/>
      <c r="ASQ11" s="196"/>
      <c r="ASR11" s="196"/>
      <c r="ASS11" s="196"/>
      <c r="AST11" s="196"/>
      <c r="ASU11" s="196"/>
      <c r="ASV11" s="196"/>
      <c r="ASW11" s="196"/>
      <c r="ASX11" s="196"/>
      <c r="ASY11" s="196"/>
      <c r="ASZ11" s="196"/>
      <c r="ATA11" s="196"/>
      <c r="ATB11" s="196"/>
      <c r="ATC11" s="196"/>
      <c r="ATD11" s="196"/>
      <c r="ATE11" s="196"/>
      <c r="ATF11" s="196"/>
      <c r="ATG11" s="196"/>
      <c r="ATH11" s="196"/>
      <c r="ATI11" s="196"/>
      <c r="ATJ11" s="196" t="s">
        <v>105</v>
      </c>
      <c r="ATK11" s="196"/>
      <c r="ATL11" s="196"/>
      <c r="ATM11" s="196"/>
      <c r="ATN11" s="196"/>
      <c r="ATO11" s="196"/>
      <c r="ATP11" s="196"/>
      <c r="ATQ11" s="196"/>
      <c r="ATR11" s="196"/>
      <c r="ATS11" s="196"/>
      <c r="ATT11" s="196"/>
      <c r="ATU11" s="196"/>
      <c r="ATV11" s="196"/>
      <c r="ATW11" s="196"/>
      <c r="ATX11" s="196"/>
      <c r="ATY11" s="196"/>
      <c r="ATZ11" s="196"/>
      <c r="AUA11" s="196"/>
      <c r="AUB11" s="196"/>
      <c r="AUC11" s="196"/>
      <c r="AUD11" s="196"/>
      <c r="AUE11" s="196"/>
      <c r="AUF11" s="196"/>
      <c r="AUG11" s="196"/>
      <c r="AUH11" s="196"/>
      <c r="AUI11" s="196"/>
      <c r="AUJ11" s="196"/>
      <c r="AUK11" s="196"/>
      <c r="AUL11" s="196"/>
      <c r="AUM11" s="196"/>
      <c r="AUN11" s="196"/>
      <c r="AUO11" s="196"/>
      <c r="AUP11" s="196"/>
      <c r="AUQ11" s="196"/>
      <c r="AUR11" s="196"/>
      <c r="AUS11" s="196"/>
      <c r="AUT11" s="196"/>
      <c r="AUU11" s="196"/>
      <c r="AUV11" s="196"/>
      <c r="AUW11" s="196"/>
      <c r="AUX11" s="196"/>
      <c r="AUY11" s="196"/>
      <c r="AUZ11" s="196"/>
      <c r="AVA11" s="196"/>
      <c r="AVB11" s="196"/>
      <c r="AVC11" s="196"/>
      <c r="AVD11" s="196"/>
      <c r="AVE11" s="196"/>
      <c r="AVF11" s="196"/>
      <c r="AVG11" s="196"/>
      <c r="AVH11" s="196"/>
      <c r="AVI11" s="196"/>
      <c r="AVJ11" s="196"/>
      <c r="AVK11" s="196"/>
      <c r="AVL11" s="196"/>
      <c r="AVM11" s="196"/>
      <c r="AVN11" s="196"/>
      <c r="AVO11" s="196"/>
      <c r="AVP11" s="196"/>
      <c r="AVQ11" s="196"/>
      <c r="AVR11" s="196" t="s">
        <v>103</v>
      </c>
      <c r="AVS11" s="196"/>
      <c r="AVT11" s="196"/>
      <c r="AVU11" s="196"/>
      <c r="AVV11" s="196"/>
      <c r="AVW11" s="196"/>
      <c r="AVX11" s="196"/>
      <c r="AVY11" s="196"/>
      <c r="AVZ11" s="196"/>
      <c r="AWA11" s="196"/>
      <c r="AWB11" s="196"/>
      <c r="AWC11" s="196"/>
      <c r="AWD11" s="196"/>
      <c r="AWE11" s="196"/>
      <c r="AWF11" s="196"/>
      <c r="AWG11" s="196"/>
      <c r="AWH11" s="196"/>
      <c r="AWI11" s="196"/>
      <c r="AWJ11" s="196"/>
      <c r="AWK11" s="196"/>
      <c r="AWL11" s="196"/>
      <c r="AWM11" s="196"/>
      <c r="AWN11" s="196"/>
      <c r="AWO11" s="196"/>
      <c r="AWP11" s="196"/>
      <c r="AWQ11" s="196"/>
      <c r="AWR11" s="196"/>
      <c r="AWS11" s="196"/>
      <c r="AWT11" s="196"/>
      <c r="AWU11" s="196"/>
      <c r="AWV11" s="196"/>
      <c r="AWW11" s="196"/>
      <c r="AWX11" s="196"/>
      <c r="AWY11" s="196"/>
      <c r="AWZ11" s="196"/>
      <c r="AXA11" s="196"/>
      <c r="AXB11" s="196"/>
      <c r="AXC11" s="196"/>
      <c r="AXD11" s="196"/>
      <c r="AXE11" s="196"/>
      <c r="AXF11" s="196"/>
      <c r="AXG11" s="196"/>
      <c r="AXH11" s="196"/>
      <c r="AXI11" s="196"/>
      <c r="AXJ11" s="196"/>
      <c r="AXK11" s="196"/>
      <c r="AXL11" s="196"/>
      <c r="AXM11" s="196"/>
      <c r="AXN11" s="196"/>
      <c r="AXO11" s="196"/>
      <c r="AXP11" s="196"/>
      <c r="AXQ11" s="196"/>
      <c r="AXR11" s="196"/>
      <c r="AXS11" s="196"/>
      <c r="AXT11" s="196"/>
      <c r="AXU11" s="196"/>
      <c r="AXV11" s="196"/>
      <c r="AXW11" s="196"/>
      <c r="AXX11" s="196"/>
      <c r="AXY11" s="196"/>
      <c r="AXZ11" s="196" t="s">
        <v>100</v>
      </c>
      <c r="AYA11" s="196"/>
      <c r="AYB11" s="196"/>
      <c r="AYC11" s="196"/>
      <c r="AYD11" s="196"/>
      <c r="AYE11" s="196"/>
      <c r="AYF11" s="196"/>
      <c r="AYG11" s="196"/>
      <c r="AYH11" s="196"/>
      <c r="AYI11" s="196"/>
      <c r="AYJ11" s="196"/>
      <c r="AYK11" s="196"/>
      <c r="AYL11" s="196"/>
      <c r="AYM11" s="196"/>
      <c r="AYN11" s="196"/>
      <c r="AYO11" s="196"/>
      <c r="AYP11" s="196"/>
      <c r="AYQ11" s="196"/>
      <c r="AYR11" s="196"/>
      <c r="AYS11" s="196"/>
      <c r="AYT11" s="196"/>
      <c r="AYU11" s="196"/>
      <c r="AYV11" s="196"/>
      <c r="AYW11" s="196"/>
      <c r="AYX11" s="196"/>
      <c r="AYY11" s="196"/>
      <c r="AYZ11" s="196"/>
      <c r="AZA11" s="196"/>
      <c r="AZB11" s="196"/>
      <c r="AZC11" s="196"/>
      <c r="AZD11" s="196"/>
      <c r="AZE11" s="196"/>
      <c r="AZF11" s="196"/>
      <c r="AZG11" s="196"/>
      <c r="AZH11" s="196"/>
      <c r="AZI11" s="196"/>
      <c r="AZJ11" s="196"/>
      <c r="AZK11" s="196"/>
      <c r="AZL11" s="196"/>
      <c r="AZM11" s="196"/>
      <c r="AZN11" s="196"/>
      <c r="AZO11" s="196"/>
      <c r="AZP11" s="196"/>
      <c r="AZQ11" s="196"/>
      <c r="AZR11" s="196"/>
      <c r="AZS11" s="196"/>
      <c r="AZT11" s="196"/>
      <c r="AZU11" s="196"/>
      <c r="AZV11" s="196"/>
      <c r="AZW11" s="196"/>
      <c r="AZX11" s="196"/>
      <c r="AZY11" s="196"/>
      <c r="AZZ11" s="196"/>
      <c r="BAA11" s="196"/>
      <c r="BAB11" s="196"/>
      <c r="BAC11" s="196"/>
      <c r="BAD11" s="196"/>
      <c r="BAE11" s="196"/>
      <c r="BAF11" s="196"/>
      <c r="BAG11" s="196"/>
      <c r="BAH11" s="196" t="s">
        <v>100</v>
      </c>
      <c r="BAI11" s="196"/>
      <c r="BAJ11" s="196"/>
      <c r="BAK11" s="196"/>
      <c r="BAL11" s="196"/>
      <c r="BAM11" s="196"/>
      <c r="BAN11" s="196"/>
      <c r="BAO11" s="196"/>
      <c r="BAP11" s="196"/>
      <c r="BAQ11" s="196"/>
      <c r="BAR11" s="196"/>
      <c r="BAS11" s="196"/>
      <c r="BAT11" s="196"/>
      <c r="BAU11" s="196"/>
      <c r="BAV11" s="196"/>
      <c r="BAW11" s="196"/>
      <c r="BAX11" s="196"/>
      <c r="BAY11" s="196"/>
      <c r="BAZ11" s="196"/>
      <c r="BBA11" s="196"/>
      <c r="BBB11" s="196"/>
      <c r="BBC11" s="196"/>
      <c r="BBD11" s="196"/>
      <c r="BBE11" s="196"/>
      <c r="BBF11" s="196"/>
      <c r="BBG11" s="196"/>
      <c r="BBH11" s="196"/>
      <c r="BBI11" s="196"/>
      <c r="BBJ11" s="196"/>
      <c r="BBK11" s="196"/>
      <c r="BBL11" s="196"/>
      <c r="BBM11" s="196"/>
      <c r="BBN11" s="196"/>
      <c r="BBO11" s="196"/>
      <c r="BBP11" s="196"/>
      <c r="BBQ11" s="196"/>
      <c r="BBR11" s="196"/>
      <c r="BBS11" s="196"/>
      <c r="BBT11" s="196"/>
      <c r="BBU11" s="196"/>
      <c r="BBV11" s="196"/>
      <c r="BBW11" s="196"/>
      <c r="BBX11" s="196"/>
      <c r="BBY11" s="196"/>
      <c r="BBZ11" s="196"/>
      <c r="BCA11" s="196"/>
      <c r="BCB11" s="196"/>
      <c r="BCC11" s="196"/>
      <c r="BCD11" s="196"/>
      <c r="BCE11" s="196"/>
      <c r="BCF11" s="196"/>
      <c r="BCG11" s="196"/>
      <c r="BCH11" s="196"/>
      <c r="BCI11" s="196"/>
      <c r="BCJ11" s="196"/>
      <c r="BCK11" s="196"/>
      <c r="BCL11" s="196"/>
      <c r="BCM11" s="196"/>
      <c r="BCN11" s="196"/>
      <c r="BCO11" s="196"/>
      <c r="BCP11" s="196" t="s">
        <v>99</v>
      </c>
      <c r="BCQ11" s="196"/>
      <c r="BCR11" s="196"/>
      <c r="BCS11" s="196"/>
      <c r="BCT11" s="196"/>
      <c r="BCU11" s="196"/>
      <c r="BCV11" s="196"/>
      <c r="BCW11" s="196"/>
      <c r="BCX11" s="196"/>
      <c r="BCY11" s="196"/>
      <c r="BCZ11" s="196"/>
      <c r="BDA11" s="196"/>
      <c r="BDB11" s="196"/>
      <c r="BDC11" s="196"/>
      <c r="BDD11" s="196"/>
      <c r="BDE11" s="196"/>
      <c r="BDF11" s="196"/>
      <c r="BDG11" s="196"/>
      <c r="BDH11" s="196"/>
      <c r="BDI11" s="196"/>
      <c r="BDJ11" s="196"/>
      <c r="BDK11" s="196"/>
      <c r="BDL11" s="196"/>
      <c r="BDM11" s="196"/>
      <c r="BDN11" s="196"/>
      <c r="BDO11" s="196"/>
      <c r="BDP11" s="196"/>
      <c r="BDQ11" s="196"/>
      <c r="BDR11" s="196"/>
      <c r="BDS11" s="196"/>
      <c r="BDT11" s="196"/>
      <c r="BDU11" s="196"/>
      <c r="BDV11" s="196"/>
      <c r="BDW11" s="196"/>
      <c r="BDX11" s="196"/>
      <c r="BDY11" s="196"/>
      <c r="BDZ11" s="196"/>
      <c r="BEA11" s="196"/>
      <c r="BEB11" s="196"/>
      <c r="BEC11" s="196"/>
      <c r="BED11" s="196"/>
      <c r="BEE11" s="196"/>
      <c r="BEF11" s="196"/>
      <c r="BEG11" s="196"/>
      <c r="BEH11" s="196"/>
      <c r="BEI11" s="196"/>
      <c r="BEJ11" s="196"/>
      <c r="BEK11" s="196"/>
      <c r="BEL11" s="196"/>
      <c r="BEM11" s="196"/>
      <c r="BEN11" s="196"/>
      <c r="BEO11" s="196"/>
      <c r="BEP11" s="196"/>
      <c r="BEQ11" s="196"/>
      <c r="BER11" s="196"/>
      <c r="BES11" s="196"/>
      <c r="BET11" s="196"/>
      <c r="BEU11" s="196"/>
      <c r="BEV11" s="196"/>
      <c r="BEW11" s="196"/>
      <c r="BEX11" s="196" t="s">
        <v>98</v>
      </c>
      <c r="BEY11" s="196"/>
      <c r="BEZ11" s="196"/>
      <c r="BFA11" s="196"/>
      <c r="BFB11" s="196"/>
      <c r="BFC11" s="196"/>
      <c r="BFD11" s="196"/>
      <c r="BFE11" s="196"/>
      <c r="BFF11" s="196"/>
      <c r="BFG11" s="196"/>
      <c r="BFH11" s="196"/>
      <c r="BFI11" s="196"/>
      <c r="BFJ11" s="196"/>
      <c r="BFK11" s="196"/>
      <c r="BFL11" s="196"/>
      <c r="BFM11" s="196"/>
      <c r="BFN11" s="196"/>
      <c r="BFO11" s="196"/>
      <c r="BFP11" s="196"/>
      <c r="BFQ11" s="196"/>
      <c r="BFR11" s="196"/>
      <c r="BFS11" s="196"/>
      <c r="BFT11" s="196"/>
      <c r="BFU11" s="196"/>
      <c r="BFV11" s="196"/>
      <c r="BFW11" s="196"/>
      <c r="BFX11" s="196"/>
      <c r="BFY11" s="196"/>
      <c r="BFZ11" s="196"/>
      <c r="BGA11" s="196"/>
      <c r="BGB11" s="196"/>
      <c r="BGC11" s="196"/>
      <c r="BGD11" s="196"/>
      <c r="BGE11" s="196"/>
      <c r="BGF11" s="196"/>
      <c r="BGG11" s="196"/>
      <c r="BGH11" s="196"/>
      <c r="BGI11" s="196"/>
      <c r="BGJ11" s="196"/>
      <c r="BGK11" s="196"/>
      <c r="BGL11" s="196"/>
      <c r="BGM11" s="196"/>
      <c r="BGN11" s="196"/>
      <c r="BGO11" s="196"/>
      <c r="BGP11" s="196"/>
      <c r="BGQ11" s="196"/>
      <c r="BGR11" s="196"/>
      <c r="BGS11" s="196"/>
      <c r="BGT11" s="196"/>
      <c r="BGU11" s="196"/>
      <c r="BGV11" s="196"/>
      <c r="BGW11" s="196"/>
      <c r="BGX11" s="196"/>
      <c r="BGY11" s="196"/>
      <c r="BGZ11" s="196"/>
      <c r="BHA11" s="196"/>
      <c r="BHB11" s="196"/>
      <c r="BHC11" s="196"/>
      <c r="BHD11" s="196"/>
      <c r="BHE11" s="196"/>
      <c r="BHF11" s="196" t="s">
        <v>98</v>
      </c>
      <c r="BHG11" s="196"/>
      <c r="BHH11" s="196"/>
      <c r="BHI11" s="196"/>
      <c r="BHJ11" s="196"/>
      <c r="BHK11" s="196"/>
      <c r="BHL11" s="196"/>
      <c r="BHM11" s="196"/>
      <c r="BHN11" s="196"/>
      <c r="BHO11" s="196"/>
      <c r="BHP11" s="196"/>
      <c r="BHQ11" s="196"/>
      <c r="BHR11" s="196"/>
      <c r="BHS11" s="196"/>
      <c r="BHT11" s="196"/>
      <c r="BHU11" s="196"/>
      <c r="BHV11" s="196"/>
      <c r="BHW11" s="196"/>
      <c r="BHX11" s="196"/>
      <c r="BHY11" s="196"/>
      <c r="BHZ11" s="196"/>
      <c r="BIA11" s="196"/>
      <c r="BIB11" s="196"/>
      <c r="BIC11" s="196"/>
      <c r="BID11" s="196"/>
      <c r="BIE11" s="196"/>
      <c r="BIF11" s="196"/>
      <c r="BIG11" s="196"/>
      <c r="BIH11" s="196"/>
      <c r="BII11" s="196"/>
      <c r="BIJ11" s="196"/>
      <c r="BIK11" s="196"/>
      <c r="BIL11" s="196"/>
      <c r="BIM11" s="196"/>
      <c r="BIN11" s="196"/>
      <c r="BIO11" s="196"/>
      <c r="BIP11" s="196"/>
      <c r="BIQ11" s="196"/>
      <c r="BIR11" s="196"/>
      <c r="BIS11" s="196"/>
      <c r="BIT11" s="196"/>
      <c r="BIU11" s="196"/>
      <c r="BIV11" s="196"/>
      <c r="BIW11" s="196"/>
      <c r="BIX11" s="196"/>
      <c r="BIY11" s="196"/>
      <c r="BIZ11" s="196"/>
      <c r="BJA11" s="196"/>
      <c r="BJB11" s="196"/>
      <c r="BJC11" s="196"/>
      <c r="BJD11" s="196"/>
      <c r="BJE11" s="196"/>
      <c r="BJF11" s="196"/>
      <c r="BJG11" s="196"/>
      <c r="BJH11" s="196"/>
      <c r="BJI11" s="196"/>
      <c r="BJJ11" s="196"/>
      <c r="BJK11" s="196"/>
      <c r="BJL11" s="196"/>
      <c r="BJM11" s="196"/>
      <c r="BJN11" s="90"/>
    </row>
    <row r="12" spans="1:1626" ht="15.75" customHeight="1" thickBot="1" x14ac:dyDescent="0.3">
      <c r="B12" s="97"/>
      <c r="C12" s="204"/>
      <c r="D12" s="204"/>
      <c r="E12" s="204"/>
      <c r="F12" s="214" t="s">
        <v>49</v>
      </c>
      <c r="G12" s="214"/>
      <c r="H12" s="214"/>
      <c r="I12" s="214"/>
      <c r="J12" s="214"/>
      <c r="K12" s="214"/>
      <c r="L12" s="214"/>
      <c r="M12" s="214"/>
      <c r="N12" s="214"/>
      <c r="O12" s="214"/>
      <c r="P12" s="214"/>
      <c r="Q12" s="214"/>
      <c r="R12" s="214"/>
      <c r="S12" s="214"/>
      <c r="T12" s="214"/>
      <c r="U12" s="214"/>
      <c r="V12" s="214"/>
      <c r="W12" s="214"/>
      <c r="X12" s="214"/>
      <c r="Y12" s="214"/>
      <c r="Z12" s="214"/>
      <c r="AA12" s="214"/>
      <c r="AB12" s="214"/>
      <c r="AC12" s="214"/>
      <c r="AD12" s="214"/>
      <c r="AE12" s="214"/>
      <c r="AF12" s="214"/>
      <c r="AG12" s="214"/>
      <c r="AH12" s="214"/>
      <c r="AI12" s="214"/>
      <c r="AJ12" s="214"/>
      <c r="AK12" s="214"/>
      <c r="AL12" s="214"/>
      <c r="AM12" s="214"/>
      <c r="AN12" s="214"/>
      <c r="AO12" s="214"/>
      <c r="AP12" s="214"/>
      <c r="AQ12" s="214"/>
      <c r="AR12" s="214"/>
      <c r="AS12" s="214"/>
      <c r="AT12" s="214"/>
      <c r="AU12" s="214"/>
      <c r="AV12" s="214"/>
      <c r="AW12" s="214"/>
      <c r="AX12" s="214"/>
      <c r="AY12" s="214"/>
      <c r="AZ12" s="214"/>
      <c r="BA12" s="214"/>
      <c r="BB12" s="214"/>
      <c r="BC12" s="214"/>
      <c r="BD12" s="214"/>
      <c r="BE12" s="214"/>
      <c r="BF12" s="214"/>
      <c r="BG12" s="214"/>
      <c r="BH12" s="214"/>
      <c r="BI12" s="214"/>
      <c r="BJ12" s="214"/>
      <c r="BK12" s="214"/>
      <c r="BL12" s="214"/>
      <c r="BM12" s="214"/>
      <c r="BN12" s="214" t="s">
        <v>49</v>
      </c>
      <c r="BO12" s="214"/>
      <c r="BP12" s="214"/>
      <c r="BQ12" s="214"/>
      <c r="BR12" s="214"/>
      <c r="BS12" s="214"/>
      <c r="BT12" s="214"/>
      <c r="BU12" s="214"/>
      <c r="BV12" s="214"/>
      <c r="BW12" s="214"/>
      <c r="BX12" s="214"/>
      <c r="BY12" s="214"/>
      <c r="BZ12" s="214"/>
      <c r="CA12" s="214"/>
      <c r="CB12" s="214"/>
      <c r="CC12" s="214"/>
      <c r="CD12" s="214"/>
      <c r="CE12" s="214"/>
      <c r="CF12" s="214"/>
      <c r="CG12" s="214"/>
      <c r="CH12" s="214"/>
      <c r="CI12" s="214"/>
      <c r="CJ12" s="214"/>
      <c r="CK12" s="214"/>
      <c r="CL12" s="214"/>
      <c r="CM12" s="214"/>
      <c r="CN12" s="214"/>
      <c r="CO12" s="214"/>
      <c r="CP12" s="214"/>
      <c r="CQ12" s="214"/>
      <c r="CR12" s="214"/>
      <c r="CS12" s="214"/>
      <c r="CT12" s="214"/>
      <c r="CU12" s="214"/>
      <c r="CV12" s="214"/>
      <c r="CW12" s="214"/>
      <c r="CX12" s="214"/>
      <c r="CY12" s="214"/>
      <c r="CZ12" s="214"/>
      <c r="DA12" s="214"/>
      <c r="DB12" s="214"/>
      <c r="DC12" s="214"/>
      <c r="DD12" s="214"/>
      <c r="DE12" s="214"/>
      <c r="DF12" s="214"/>
      <c r="DG12" s="214"/>
      <c r="DH12" s="214"/>
      <c r="DI12" s="214"/>
      <c r="DJ12" s="214"/>
      <c r="DK12" s="214"/>
      <c r="DL12" s="214"/>
      <c r="DM12" s="214"/>
      <c r="DN12" s="214"/>
      <c r="DO12" s="214"/>
      <c r="DP12" s="214"/>
      <c r="DQ12" s="214"/>
      <c r="DR12" s="214"/>
      <c r="DS12" s="214"/>
      <c r="DT12" s="214"/>
      <c r="DU12" s="214"/>
      <c r="DV12" s="197" t="s">
        <v>50</v>
      </c>
      <c r="DW12" s="197"/>
      <c r="DX12" s="197"/>
      <c r="DY12" s="197"/>
      <c r="DZ12" s="197"/>
      <c r="EA12" s="197"/>
      <c r="EB12" s="197"/>
      <c r="EC12" s="197"/>
      <c r="ED12" s="197"/>
      <c r="EE12" s="197"/>
      <c r="EF12" s="197"/>
      <c r="EG12" s="197"/>
      <c r="EH12" s="197"/>
      <c r="EI12" s="197"/>
      <c r="EJ12" s="197"/>
      <c r="EK12" s="197"/>
      <c r="EL12" s="197"/>
      <c r="EM12" s="197"/>
      <c r="EN12" s="197"/>
      <c r="EO12" s="197"/>
      <c r="EP12" s="197"/>
      <c r="EQ12" s="197"/>
      <c r="ER12" s="197"/>
      <c r="ES12" s="197"/>
      <c r="ET12" s="197"/>
      <c r="EU12" s="197"/>
      <c r="EV12" s="197"/>
      <c r="EW12" s="197"/>
      <c r="EX12" s="197"/>
      <c r="EY12" s="197"/>
      <c r="EZ12" s="197"/>
      <c r="FA12" s="197"/>
      <c r="FB12" s="197"/>
      <c r="FC12" s="197"/>
      <c r="FD12" s="197"/>
      <c r="FE12" s="197"/>
      <c r="FF12" s="197"/>
      <c r="FG12" s="197"/>
      <c r="FH12" s="197"/>
      <c r="FI12" s="197"/>
      <c r="FJ12" s="197"/>
      <c r="FK12" s="197"/>
      <c r="FL12" s="197"/>
      <c r="FM12" s="197"/>
      <c r="FN12" s="197"/>
      <c r="FO12" s="197"/>
      <c r="FP12" s="197"/>
      <c r="FQ12" s="197"/>
      <c r="FR12" s="197"/>
      <c r="FS12" s="197"/>
      <c r="FT12" s="197"/>
      <c r="FU12" s="197"/>
      <c r="FV12" s="197"/>
      <c r="FW12" s="197"/>
      <c r="FX12" s="197"/>
      <c r="FY12" s="197"/>
      <c r="FZ12" s="197"/>
      <c r="GA12" s="197"/>
      <c r="GB12" s="197"/>
      <c r="GC12" s="197"/>
      <c r="GD12" s="197" t="s">
        <v>49</v>
      </c>
      <c r="GE12" s="197"/>
      <c r="GF12" s="197"/>
      <c r="GG12" s="197"/>
      <c r="GH12" s="197"/>
      <c r="GI12" s="197"/>
      <c r="GJ12" s="197"/>
      <c r="GK12" s="197"/>
      <c r="GL12" s="197"/>
      <c r="GM12" s="197"/>
      <c r="GN12" s="197"/>
      <c r="GO12" s="197"/>
      <c r="GP12" s="197"/>
      <c r="GQ12" s="197"/>
      <c r="GR12" s="197"/>
      <c r="GS12" s="197"/>
      <c r="GT12" s="197"/>
      <c r="GU12" s="197"/>
      <c r="GV12" s="197"/>
      <c r="GW12" s="197"/>
      <c r="GX12" s="197"/>
      <c r="GY12" s="197"/>
      <c r="GZ12" s="197"/>
      <c r="HA12" s="197"/>
      <c r="HB12" s="197"/>
      <c r="HC12" s="197"/>
      <c r="HD12" s="197"/>
      <c r="HE12" s="197"/>
      <c r="HF12" s="197"/>
      <c r="HG12" s="197"/>
      <c r="HH12" s="197"/>
      <c r="HI12" s="197"/>
      <c r="HJ12" s="197"/>
      <c r="HK12" s="197"/>
      <c r="HL12" s="197"/>
      <c r="HM12" s="197"/>
      <c r="HN12" s="197"/>
      <c r="HO12" s="197"/>
      <c r="HP12" s="197"/>
      <c r="HQ12" s="197"/>
      <c r="HR12" s="197"/>
      <c r="HS12" s="197"/>
      <c r="HT12" s="197"/>
      <c r="HU12" s="197"/>
      <c r="HV12" s="197"/>
      <c r="HW12" s="197"/>
      <c r="HX12" s="197"/>
      <c r="HY12" s="197"/>
      <c r="HZ12" s="197"/>
      <c r="IA12" s="197"/>
      <c r="IB12" s="197"/>
      <c r="IC12" s="197"/>
      <c r="ID12" s="197"/>
      <c r="IE12" s="197"/>
      <c r="IF12" s="197"/>
      <c r="IG12" s="197"/>
      <c r="IH12" s="197"/>
      <c r="II12" s="197"/>
      <c r="IJ12" s="197"/>
      <c r="IK12" s="197"/>
      <c r="IL12" s="197" t="s">
        <v>50</v>
      </c>
      <c r="IM12" s="197"/>
      <c r="IN12" s="197"/>
      <c r="IO12" s="197"/>
      <c r="IP12" s="197"/>
      <c r="IQ12" s="197"/>
      <c r="IR12" s="197"/>
      <c r="IS12" s="197"/>
      <c r="IT12" s="197"/>
      <c r="IU12" s="197"/>
      <c r="IV12" s="197"/>
      <c r="IW12" s="197"/>
      <c r="IX12" s="197"/>
      <c r="IY12" s="197"/>
      <c r="IZ12" s="197"/>
      <c r="JA12" s="197"/>
      <c r="JB12" s="197"/>
      <c r="JC12" s="197"/>
      <c r="JD12" s="197"/>
      <c r="JE12" s="197"/>
      <c r="JF12" s="197"/>
      <c r="JG12" s="197"/>
      <c r="JH12" s="197"/>
      <c r="JI12" s="197"/>
      <c r="JJ12" s="197"/>
      <c r="JK12" s="197"/>
      <c r="JL12" s="197"/>
      <c r="JM12" s="197"/>
      <c r="JN12" s="197"/>
      <c r="JO12" s="197"/>
      <c r="JP12" s="197"/>
      <c r="JQ12" s="197"/>
      <c r="JR12" s="197"/>
      <c r="JS12" s="197"/>
      <c r="JT12" s="197"/>
      <c r="JU12" s="197"/>
      <c r="JV12" s="197"/>
      <c r="JW12" s="197"/>
      <c r="JX12" s="197"/>
      <c r="JY12" s="197"/>
      <c r="JZ12" s="197"/>
      <c r="KA12" s="197"/>
      <c r="KB12" s="197"/>
      <c r="KC12" s="197"/>
      <c r="KD12" s="197"/>
      <c r="KE12" s="197"/>
      <c r="KF12" s="197"/>
      <c r="KG12" s="197"/>
      <c r="KH12" s="197"/>
      <c r="KI12" s="197"/>
      <c r="KJ12" s="197"/>
      <c r="KK12" s="197"/>
      <c r="KL12" s="197"/>
      <c r="KM12" s="197"/>
      <c r="KN12" s="197"/>
      <c r="KO12" s="197"/>
      <c r="KP12" s="197"/>
      <c r="KQ12" s="197"/>
      <c r="KR12" s="197"/>
      <c r="KS12" s="197"/>
      <c r="KT12" s="197" t="s">
        <v>49</v>
      </c>
      <c r="KU12" s="197"/>
      <c r="KV12" s="197"/>
      <c r="KW12" s="197"/>
      <c r="KX12" s="197"/>
      <c r="KY12" s="197"/>
      <c r="KZ12" s="197"/>
      <c r="LA12" s="197"/>
      <c r="LB12" s="197"/>
      <c r="LC12" s="197"/>
      <c r="LD12" s="197"/>
      <c r="LE12" s="197"/>
      <c r="LF12" s="197"/>
      <c r="LG12" s="197"/>
      <c r="LH12" s="197"/>
      <c r="LI12" s="197"/>
      <c r="LJ12" s="197"/>
      <c r="LK12" s="197"/>
      <c r="LL12" s="197"/>
      <c r="LM12" s="197"/>
      <c r="LN12" s="197"/>
      <c r="LO12" s="197"/>
      <c r="LP12" s="197"/>
      <c r="LQ12" s="197"/>
      <c r="LR12" s="197"/>
      <c r="LS12" s="197"/>
      <c r="LT12" s="197"/>
      <c r="LU12" s="197"/>
      <c r="LV12" s="197"/>
      <c r="LW12" s="197"/>
      <c r="LX12" s="197"/>
      <c r="LY12" s="197"/>
      <c r="LZ12" s="197"/>
      <c r="MA12" s="197"/>
      <c r="MB12" s="197"/>
      <c r="MC12" s="197"/>
      <c r="MD12" s="197"/>
      <c r="ME12" s="197"/>
      <c r="MF12" s="197"/>
      <c r="MG12" s="197"/>
      <c r="MH12" s="197"/>
      <c r="MI12" s="197"/>
      <c r="MJ12" s="197"/>
      <c r="MK12" s="197"/>
      <c r="ML12" s="197"/>
      <c r="MM12" s="197"/>
      <c r="MN12" s="197"/>
      <c r="MO12" s="197"/>
      <c r="MP12" s="197"/>
      <c r="MQ12" s="197"/>
      <c r="MR12" s="197"/>
      <c r="MS12" s="197"/>
      <c r="MT12" s="197"/>
      <c r="MU12" s="197"/>
      <c r="MV12" s="197"/>
      <c r="MW12" s="197"/>
      <c r="MX12" s="197"/>
      <c r="MY12" s="197"/>
      <c r="MZ12" s="197"/>
      <c r="NA12" s="197"/>
      <c r="NB12" s="197" t="s">
        <v>50</v>
      </c>
      <c r="NC12" s="197"/>
      <c r="ND12" s="197"/>
      <c r="NE12" s="197"/>
      <c r="NF12" s="197"/>
      <c r="NG12" s="197"/>
      <c r="NH12" s="197"/>
      <c r="NI12" s="197"/>
      <c r="NJ12" s="197"/>
      <c r="NK12" s="197"/>
      <c r="NL12" s="197"/>
      <c r="NM12" s="197"/>
      <c r="NN12" s="197"/>
      <c r="NO12" s="197"/>
      <c r="NP12" s="197"/>
      <c r="NQ12" s="197"/>
      <c r="NR12" s="197"/>
      <c r="NS12" s="197"/>
      <c r="NT12" s="197"/>
      <c r="NU12" s="197"/>
      <c r="NV12" s="197"/>
      <c r="NW12" s="197"/>
      <c r="NX12" s="197"/>
      <c r="NY12" s="197"/>
      <c r="NZ12" s="197"/>
      <c r="OA12" s="197"/>
      <c r="OB12" s="197"/>
      <c r="OC12" s="197"/>
      <c r="OD12" s="197"/>
      <c r="OE12" s="197"/>
      <c r="OF12" s="197"/>
      <c r="OG12" s="197"/>
      <c r="OH12" s="197"/>
      <c r="OI12" s="197"/>
      <c r="OJ12" s="197"/>
      <c r="OK12" s="197"/>
      <c r="OL12" s="197"/>
      <c r="OM12" s="197"/>
      <c r="ON12" s="197"/>
      <c r="OO12" s="197"/>
      <c r="OP12" s="197"/>
      <c r="OQ12" s="197"/>
      <c r="OR12" s="197"/>
      <c r="OS12" s="197"/>
      <c r="OT12" s="197"/>
      <c r="OU12" s="197"/>
      <c r="OV12" s="197"/>
      <c r="OW12" s="197"/>
      <c r="OX12" s="197"/>
      <c r="OY12" s="197"/>
      <c r="OZ12" s="197"/>
      <c r="PA12" s="197"/>
      <c r="PB12" s="197"/>
      <c r="PC12" s="197"/>
      <c r="PD12" s="197"/>
      <c r="PE12" s="197"/>
      <c r="PF12" s="197"/>
      <c r="PG12" s="197"/>
      <c r="PH12" s="197"/>
      <c r="PI12" s="197"/>
      <c r="PJ12" s="197" t="s">
        <v>49</v>
      </c>
      <c r="PK12" s="197"/>
      <c r="PL12" s="197"/>
      <c r="PM12" s="197"/>
      <c r="PN12" s="197"/>
      <c r="PO12" s="197"/>
      <c r="PP12" s="197"/>
      <c r="PQ12" s="197"/>
      <c r="PR12" s="197"/>
      <c r="PS12" s="197"/>
      <c r="PT12" s="197"/>
      <c r="PU12" s="197"/>
      <c r="PV12" s="197"/>
      <c r="PW12" s="197"/>
      <c r="PX12" s="197"/>
      <c r="PY12" s="197"/>
      <c r="PZ12" s="197"/>
      <c r="QA12" s="197"/>
      <c r="QB12" s="197"/>
      <c r="QC12" s="197"/>
      <c r="QD12" s="197"/>
      <c r="QE12" s="197"/>
      <c r="QF12" s="197"/>
      <c r="QG12" s="197"/>
      <c r="QH12" s="197"/>
      <c r="QI12" s="197"/>
      <c r="QJ12" s="197"/>
      <c r="QK12" s="197"/>
      <c r="QL12" s="197"/>
      <c r="QM12" s="197"/>
      <c r="QN12" s="197"/>
      <c r="QO12" s="197"/>
      <c r="QP12" s="197"/>
      <c r="QQ12" s="197"/>
      <c r="QR12" s="197"/>
      <c r="QS12" s="197"/>
      <c r="QT12" s="197"/>
      <c r="QU12" s="197"/>
      <c r="QV12" s="197"/>
      <c r="QW12" s="197"/>
      <c r="QX12" s="197"/>
      <c r="QY12" s="197"/>
      <c r="QZ12" s="197"/>
      <c r="RA12" s="197"/>
      <c r="RB12" s="197"/>
      <c r="RC12" s="197"/>
      <c r="RD12" s="197"/>
      <c r="RE12" s="197"/>
      <c r="RF12" s="197"/>
      <c r="RG12" s="197"/>
      <c r="RH12" s="197"/>
      <c r="RI12" s="197"/>
      <c r="RJ12" s="197"/>
      <c r="RK12" s="197"/>
      <c r="RL12" s="197"/>
      <c r="RM12" s="197"/>
      <c r="RN12" s="197"/>
      <c r="RO12" s="197"/>
      <c r="RP12" s="197"/>
      <c r="RQ12" s="197"/>
      <c r="RR12" s="197" t="s">
        <v>49</v>
      </c>
      <c r="RS12" s="197"/>
      <c r="RT12" s="197"/>
      <c r="RU12" s="197"/>
      <c r="RV12" s="197"/>
      <c r="RW12" s="197"/>
      <c r="RX12" s="197"/>
      <c r="RY12" s="197"/>
      <c r="RZ12" s="197"/>
      <c r="SA12" s="197"/>
      <c r="SB12" s="197"/>
      <c r="SC12" s="197"/>
      <c r="SD12" s="197"/>
      <c r="SE12" s="197"/>
      <c r="SF12" s="197"/>
      <c r="SG12" s="197"/>
      <c r="SH12" s="197"/>
      <c r="SI12" s="197"/>
      <c r="SJ12" s="197"/>
      <c r="SK12" s="197"/>
      <c r="SL12" s="197"/>
      <c r="SM12" s="197"/>
      <c r="SN12" s="197"/>
      <c r="SO12" s="197"/>
      <c r="SP12" s="197"/>
      <c r="SQ12" s="197"/>
      <c r="SR12" s="197"/>
      <c r="SS12" s="197"/>
      <c r="ST12" s="197"/>
      <c r="SU12" s="197"/>
      <c r="SV12" s="197"/>
      <c r="SW12" s="197"/>
      <c r="SX12" s="197"/>
      <c r="SY12" s="197"/>
      <c r="SZ12" s="197"/>
      <c r="TA12" s="197"/>
      <c r="TB12" s="197"/>
      <c r="TC12" s="197"/>
      <c r="TD12" s="197"/>
      <c r="TE12" s="197"/>
      <c r="TF12" s="197"/>
      <c r="TG12" s="197"/>
      <c r="TH12" s="197"/>
      <c r="TI12" s="197"/>
      <c r="TJ12" s="197"/>
      <c r="TK12" s="197"/>
      <c r="TL12" s="197"/>
      <c r="TM12" s="197"/>
      <c r="TN12" s="197"/>
      <c r="TO12" s="197"/>
      <c r="TP12" s="197"/>
      <c r="TQ12" s="197"/>
      <c r="TR12" s="197"/>
      <c r="TS12" s="197"/>
      <c r="TT12" s="197"/>
      <c r="TU12" s="197"/>
      <c r="TV12" s="197"/>
      <c r="TW12" s="197"/>
      <c r="TX12" s="197"/>
      <c r="TY12" s="197"/>
      <c r="TZ12" s="197" t="s">
        <v>50</v>
      </c>
      <c r="UA12" s="197"/>
      <c r="UB12" s="197"/>
      <c r="UC12" s="197"/>
      <c r="UD12" s="197"/>
      <c r="UE12" s="197"/>
      <c r="UF12" s="197"/>
      <c r="UG12" s="197"/>
      <c r="UH12" s="197"/>
      <c r="UI12" s="197"/>
      <c r="UJ12" s="197"/>
      <c r="UK12" s="197"/>
      <c r="UL12" s="197"/>
      <c r="UM12" s="197"/>
      <c r="UN12" s="197"/>
      <c r="UO12" s="197"/>
      <c r="UP12" s="197"/>
      <c r="UQ12" s="197"/>
      <c r="UR12" s="197"/>
      <c r="US12" s="197"/>
      <c r="UT12" s="197"/>
      <c r="UU12" s="197"/>
      <c r="UV12" s="197"/>
      <c r="UW12" s="197"/>
      <c r="UX12" s="197"/>
      <c r="UY12" s="197"/>
      <c r="UZ12" s="197"/>
      <c r="VA12" s="197"/>
      <c r="VB12" s="197"/>
      <c r="VC12" s="197"/>
      <c r="VD12" s="197"/>
      <c r="VE12" s="197"/>
      <c r="VF12" s="197"/>
      <c r="VG12" s="197"/>
      <c r="VH12" s="197"/>
      <c r="VI12" s="197"/>
      <c r="VJ12" s="197"/>
      <c r="VK12" s="197"/>
      <c r="VL12" s="197"/>
      <c r="VM12" s="197"/>
      <c r="VN12" s="197"/>
      <c r="VO12" s="197"/>
      <c r="VP12" s="197"/>
      <c r="VQ12" s="197"/>
      <c r="VR12" s="197"/>
      <c r="VS12" s="197"/>
      <c r="VT12" s="197"/>
      <c r="VU12" s="197"/>
      <c r="VV12" s="197"/>
      <c r="VW12" s="197"/>
      <c r="VX12" s="197"/>
      <c r="VY12" s="197"/>
      <c r="VZ12" s="197"/>
      <c r="WA12" s="197"/>
      <c r="WB12" s="197"/>
      <c r="WC12" s="197"/>
      <c r="WD12" s="197"/>
      <c r="WE12" s="197"/>
      <c r="WF12" s="197"/>
      <c r="WG12" s="197"/>
      <c r="WH12" s="197" t="s">
        <v>49</v>
      </c>
      <c r="WI12" s="197"/>
      <c r="WJ12" s="197"/>
      <c r="WK12" s="197"/>
      <c r="WL12" s="197"/>
      <c r="WM12" s="197"/>
      <c r="WN12" s="197"/>
      <c r="WO12" s="197"/>
      <c r="WP12" s="197"/>
      <c r="WQ12" s="197"/>
      <c r="WR12" s="197"/>
      <c r="WS12" s="197"/>
      <c r="WT12" s="197"/>
      <c r="WU12" s="197"/>
      <c r="WV12" s="197"/>
      <c r="WW12" s="197"/>
      <c r="WX12" s="197"/>
      <c r="WY12" s="197"/>
      <c r="WZ12" s="197"/>
      <c r="XA12" s="197"/>
      <c r="XB12" s="197"/>
      <c r="XC12" s="197"/>
      <c r="XD12" s="197"/>
      <c r="XE12" s="197"/>
      <c r="XF12" s="197"/>
      <c r="XG12" s="197"/>
      <c r="XH12" s="197"/>
      <c r="XI12" s="197"/>
      <c r="XJ12" s="197"/>
      <c r="XK12" s="197"/>
      <c r="XL12" s="197"/>
      <c r="XM12" s="197"/>
      <c r="XN12" s="197"/>
      <c r="XO12" s="197"/>
      <c r="XP12" s="197"/>
      <c r="XQ12" s="197"/>
      <c r="XR12" s="197"/>
      <c r="XS12" s="197"/>
      <c r="XT12" s="197"/>
      <c r="XU12" s="197"/>
      <c r="XV12" s="197"/>
      <c r="XW12" s="197"/>
      <c r="XX12" s="197"/>
      <c r="XY12" s="197"/>
      <c r="XZ12" s="197"/>
      <c r="YA12" s="197"/>
      <c r="YB12" s="197"/>
      <c r="YC12" s="197"/>
      <c r="YD12" s="197"/>
      <c r="YE12" s="197"/>
      <c r="YF12" s="197"/>
      <c r="YG12" s="197"/>
      <c r="YH12" s="197"/>
      <c r="YI12" s="197"/>
      <c r="YJ12" s="197"/>
      <c r="YK12" s="197"/>
      <c r="YL12" s="197"/>
      <c r="YM12" s="197"/>
      <c r="YN12" s="197"/>
      <c r="YO12" s="197"/>
      <c r="YP12" s="197" t="s">
        <v>50</v>
      </c>
      <c r="YQ12" s="197"/>
      <c r="YR12" s="197"/>
      <c r="YS12" s="197"/>
      <c r="YT12" s="197"/>
      <c r="YU12" s="197"/>
      <c r="YV12" s="197"/>
      <c r="YW12" s="197"/>
      <c r="YX12" s="197"/>
      <c r="YY12" s="197"/>
      <c r="YZ12" s="197"/>
      <c r="ZA12" s="197"/>
      <c r="ZB12" s="197"/>
      <c r="ZC12" s="197"/>
      <c r="ZD12" s="197"/>
      <c r="ZE12" s="197"/>
      <c r="ZF12" s="197"/>
      <c r="ZG12" s="197"/>
      <c r="ZH12" s="197"/>
      <c r="ZI12" s="197"/>
      <c r="ZJ12" s="197"/>
      <c r="ZK12" s="197"/>
      <c r="ZL12" s="197"/>
      <c r="ZM12" s="197"/>
      <c r="ZN12" s="197"/>
      <c r="ZO12" s="197"/>
      <c r="ZP12" s="197"/>
      <c r="ZQ12" s="197"/>
      <c r="ZR12" s="197"/>
      <c r="ZS12" s="197"/>
      <c r="ZT12" s="197"/>
      <c r="ZU12" s="197"/>
      <c r="ZV12" s="197"/>
      <c r="ZW12" s="197"/>
      <c r="ZX12" s="197"/>
      <c r="ZY12" s="197"/>
      <c r="ZZ12" s="197"/>
      <c r="AAA12" s="197"/>
      <c r="AAB12" s="197"/>
      <c r="AAC12" s="197"/>
      <c r="AAD12" s="197"/>
      <c r="AAE12" s="197"/>
      <c r="AAF12" s="197"/>
      <c r="AAG12" s="197"/>
      <c r="AAH12" s="197"/>
      <c r="AAI12" s="197"/>
      <c r="AAJ12" s="197"/>
      <c r="AAK12" s="197"/>
      <c r="AAL12" s="197"/>
      <c r="AAM12" s="197"/>
      <c r="AAN12" s="197"/>
      <c r="AAO12" s="197"/>
      <c r="AAP12" s="197"/>
      <c r="AAQ12" s="197"/>
      <c r="AAR12" s="197"/>
      <c r="AAS12" s="197"/>
      <c r="AAT12" s="197"/>
      <c r="AAU12" s="197"/>
      <c r="AAV12" s="197"/>
      <c r="AAW12" s="197"/>
      <c r="AAX12" s="197" t="s">
        <v>49</v>
      </c>
      <c r="AAY12" s="197"/>
      <c r="AAZ12" s="197"/>
      <c r="ABA12" s="197"/>
      <c r="ABB12" s="197"/>
      <c r="ABC12" s="197"/>
      <c r="ABD12" s="197"/>
      <c r="ABE12" s="197"/>
      <c r="ABF12" s="197"/>
      <c r="ABG12" s="197"/>
      <c r="ABH12" s="197"/>
      <c r="ABI12" s="197"/>
      <c r="ABJ12" s="197"/>
      <c r="ABK12" s="197"/>
      <c r="ABL12" s="197"/>
      <c r="ABM12" s="197"/>
      <c r="ABN12" s="197"/>
      <c r="ABO12" s="197"/>
      <c r="ABP12" s="197"/>
      <c r="ABQ12" s="197"/>
      <c r="ABR12" s="197"/>
      <c r="ABS12" s="197"/>
      <c r="ABT12" s="197"/>
      <c r="ABU12" s="197"/>
      <c r="ABV12" s="197"/>
      <c r="ABW12" s="197"/>
      <c r="ABX12" s="197"/>
      <c r="ABY12" s="197"/>
      <c r="ABZ12" s="197"/>
      <c r="ACA12" s="197"/>
      <c r="ACB12" s="197"/>
      <c r="ACC12" s="197"/>
      <c r="ACD12" s="197"/>
      <c r="ACE12" s="197"/>
      <c r="ACF12" s="197"/>
      <c r="ACG12" s="197"/>
      <c r="ACH12" s="197"/>
      <c r="ACI12" s="197"/>
      <c r="ACJ12" s="197"/>
      <c r="ACK12" s="197"/>
      <c r="ACL12" s="197"/>
      <c r="ACM12" s="197"/>
      <c r="ACN12" s="197"/>
      <c r="ACO12" s="197"/>
      <c r="ACP12" s="197"/>
      <c r="ACQ12" s="197"/>
      <c r="ACR12" s="197"/>
      <c r="ACS12" s="197"/>
      <c r="ACT12" s="197"/>
      <c r="ACU12" s="197"/>
      <c r="ACV12" s="197"/>
      <c r="ACW12" s="197"/>
      <c r="ACX12" s="197"/>
      <c r="ACY12" s="197"/>
      <c r="ACZ12" s="197"/>
      <c r="ADA12" s="197"/>
      <c r="ADB12" s="197"/>
      <c r="ADC12" s="197"/>
      <c r="ADD12" s="197"/>
      <c r="ADE12" s="197"/>
      <c r="ADF12" s="197" t="s">
        <v>50</v>
      </c>
      <c r="ADG12" s="197"/>
      <c r="ADH12" s="197"/>
      <c r="ADI12" s="197"/>
      <c r="ADJ12" s="197"/>
      <c r="ADK12" s="197"/>
      <c r="ADL12" s="197"/>
      <c r="ADM12" s="197"/>
      <c r="ADN12" s="197"/>
      <c r="ADO12" s="197"/>
      <c r="ADP12" s="197"/>
      <c r="ADQ12" s="197"/>
      <c r="ADR12" s="197"/>
      <c r="ADS12" s="197"/>
      <c r="ADT12" s="197"/>
      <c r="ADU12" s="197"/>
      <c r="ADV12" s="197"/>
      <c r="ADW12" s="197"/>
      <c r="ADX12" s="197"/>
      <c r="ADY12" s="197"/>
      <c r="ADZ12" s="197"/>
      <c r="AEA12" s="197"/>
      <c r="AEB12" s="197"/>
      <c r="AEC12" s="197"/>
      <c r="AED12" s="197"/>
      <c r="AEE12" s="197"/>
      <c r="AEF12" s="197"/>
      <c r="AEG12" s="197"/>
      <c r="AEH12" s="197"/>
      <c r="AEI12" s="197"/>
      <c r="AEJ12" s="197"/>
      <c r="AEK12" s="197"/>
      <c r="AEL12" s="197"/>
      <c r="AEM12" s="197"/>
      <c r="AEN12" s="197"/>
      <c r="AEO12" s="197"/>
      <c r="AEP12" s="197"/>
      <c r="AEQ12" s="197"/>
      <c r="AER12" s="197"/>
      <c r="AES12" s="197"/>
      <c r="AET12" s="197"/>
      <c r="AEU12" s="197"/>
      <c r="AEV12" s="197"/>
      <c r="AEW12" s="197"/>
      <c r="AEX12" s="197"/>
      <c r="AEY12" s="197"/>
      <c r="AEZ12" s="197"/>
      <c r="AFA12" s="197"/>
      <c r="AFB12" s="197"/>
      <c r="AFC12" s="197"/>
      <c r="AFD12" s="197"/>
      <c r="AFE12" s="197"/>
      <c r="AFF12" s="197"/>
      <c r="AFG12" s="197"/>
      <c r="AFH12" s="197"/>
      <c r="AFI12" s="197"/>
      <c r="AFJ12" s="197"/>
      <c r="AFK12" s="197"/>
      <c r="AFL12" s="197"/>
      <c r="AFM12" s="197"/>
      <c r="AFN12" s="197" t="s">
        <v>49</v>
      </c>
      <c r="AFO12" s="197"/>
      <c r="AFP12" s="197"/>
      <c r="AFQ12" s="197"/>
      <c r="AFR12" s="197"/>
      <c r="AFS12" s="197"/>
      <c r="AFT12" s="197"/>
      <c r="AFU12" s="197"/>
      <c r="AFV12" s="197"/>
      <c r="AFW12" s="197"/>
      <c r="AFX12" s="197"/>
      <c r="AFY12" s="197"/>
      <c r="AFZ12" s="197"/>
      <c r="AGA12" s="197"/>
      <c r="AGB12" s="197"/>
      <c r="AGC12" s="197"/>
      <c r="AGD12" s="197"/>
      <c r="AGE12" s="197"/>
      <c r="AGF12" s="197"/>
      <c r="AGG12" s="197"/>
      <c r="AGH12" s="197"/>
      <c r="AGI12" s="197"/>
      <c r="AGJ12" s="197"/>
      <c r="AGK12" s="197"/>
      <c r="AGL12" s="197"/>
      <c r="AGM12" s="197"/>
      <c r="AGN12" s="197"/>
      <c r="AGO12" s="197"/>
      <c r="AGP12" s="197"/>
      <c r="AGQ12" s="197"/>
      <c r="AGR12" s="197"/>
      <c r="AGS12" s="197"/>
      <c r="AGT12" s="197"/>
      <c r="AGU12" s="197"/>
      <c r="AGV12" s="197"/>
      <c r="AGW12" s="197"/>
      <c r="AGX12" s="197"/>
      <c r="AGY12" s="197"/>
      <c r="AGZ12" s="197"/>
      <c r="AHA12" s="197"/>
      <c r="AHB12" s="197"/>
      <c r="AHC12" s="197"/>
      <c r="AHD12" s="197"/>
      <c r="AHE12" s="197"/>
      <c r="AHF12" s="197"/>
      <c r="AHG12" s="197"/>
      <c r="AHH12" s="197"/>
      <c r="AHI12" s="197"/>
      <c r="AHJ12" s="197"/>
      <c r="AHK12" s="197"/>
      <c r="AHL12" s="197"/>
      <c r="AHM12" s="197"/>
      <c r="AHN12" s="197"/>
      <c r="AHO12" s="197"/>
      <c r="AHP12" s="197"/>
      <c r="AHQ12" s="197"/>
      <c r="AHR12" s="197"/>
      <c r="AHS12" s="197"/>
      <c r="AHT12" s="197"/>
      <c r="AHU12" s="197"/>
      <c r="AHV12" s="197" t="s">
        <v>49</v>
      </c>
      <c r="AHW12" s="197"/>
      <c r="AHX12" s="197"/>
      <c r="AHY12" s="197"/>
      <c r="AHZ12" s="197"/>
      <c r="AIA12" s="197"/>
      <c r="AIB12" s="197"/>
      <c r="AIC12" s="197"/>
      <c r="AID12" s="197"/>
      <c r="AIE12" s="197"/>
      <c r="AIF12" s="197"/>
      <c r="AIG12" s="197"/>
      <c r="AIH12" s="197"/>
      <c r="AII12" s="197"/>
      <c r="AIJ12" s="197"/>
      <c r="AIK12" s="197"/>
      <c r="AIL12" s="197"/>
      <c r="AIM12" s="197"/>
      <c r="AIN12" s="197"/>
      <c r="AIO12" s="197"/>
      <c r="AIP12" s="197"/>
      <c r="AIQ12" s="197"/>
      <c r="AIR12" s="197"/>
      <c r="AIS12" s="197"/>
      <c r="AIT12" s="197"/>
      <c r="AIU12" s="197"/>
      <c r="AIV12" s="197"/>
      <c r="AIW12" s="197"/>
      <c r="AIX12" s="197"/>
      <c r="AIY12" s="197"/>
      <c r="AIZ12" s="197"/>
      <c r="AJA12" s="197"/>
      <c r="AJB12" s="197"/>
      <c r="AJC12" s="197"/>
      <c r="AJD12" s="197"/>
      <c r="AJE12" s="197"/>
      <c r="AJF12" s="197"/>
      <c r="AJG12" s="197"/>
      <c r="AJH12" s="197"/>
      <c r="AJI12" s="197"/>
      <c r="AJJ12" s="197"/>
      <c r="AJK12" s="197"/>
      <c r="AJL12" s="197"/>
      <c r="AJM12" s="197"/>
      <c r="AJN12" s="197"/>
      <c r="AJO12" s="197"/>
      <c r="AJP12" s="197"/>
      <c r="AJQ12" s="197"/>
      <c r="AJR12" s="197"/>
      <c r="AJS12" s="197"/>
      <c r="AJT12" s="197"/>
      <c r="AJU12" s="197"/>
      <c r="AJV12" s="197"/>
      <c r="AJW12" s="197"/>
      <c r="AJX12" s="197"/>
      <c r="AJY12" s="197"/>
      <c r="AJZ12" s="197"/>
      <c r="AKA12" s="197"/>
      <c r="AKB12" s="197"/>
      <c r="AKC12" s="197"/>
      <c r="AKD12" s="197" t="s">
        <v>50</v>
      </c>
      <c r="AKE12" s="197"/>
      <c r="AKF12" s="197"/>
      <c r="AKG12" s="197"/>
      <c r="AKH12" s="197"/>
      <c r="AKI12" s="197"/>
      <c r="AKJ12" s="197"/>
      <c r="AKK12" s="197"/>
      <c r="AKL12" s="197"/>
      <c r="AKM12" s="197"/>
      <c r="AKN12" s="197"/>
      <c r="AKO12" s="197"/>
      <c r="AKP12" s="197"/>
      <c r="AKQ12" s="197"/>
      <c r="AKR12" s="197"/>
      <c r="AKS12" s="197"/>
      <c r="AKT12" s="197"/>
      <c r="AKU12" s="197"/>
      <c r="AKV12" s="197"/>
      <c r="AKW12" s="197"/>
      <c r="AKX12" s="197"/>
      <c r="AKY12" s="197"/>
      <c r="AKZ12" s="197"/>
      <c r="ALA12" s="197"/>
      <c r="ALB12" s="197"/>
      <c r="ALC12" s="197"/>
      <c r="ALD12" s="197"/>
      <c r="ALE12" s="197"/>
      <c r="ALF12" s="197"/>
      <c r="ALG12" s="197"/>
      <c r="ALH12" s="197"/>
      <c r="ALI12" s="197"/>
      <c r="ALJ12" s="197"/>
      <c r="ALK12" s="197"/>
      <c r="ALL12" s="197"/>
      <c r="ALM12" s="197"/>
      <c r="ALN12" s="197"/>
      <c r="ALO12" s="197"/>
      <c r="ALP12" s="197"/>
      <c r="ALQ12" s="197"/>
      <c r="ALR12" s="197"/>
      <c r="ALS12" s="197"/>
      <c r="ALT12" s="197"/>
      <c r="ALU12" s="197"/>
      <c r="ALV12" s="197"/>
      <c r="ALW12" s="197"/>
      <c r="ALX12" s="197"/>
      <c r="ALY12" s="197"/>
      <c r="ALZ12" s="197"/>
      <c r="AMA12" s="197"/>
      <c r="AMB12" s="197"/>
      <c r="AMC12" s="197"/>
      <c r="AMD12" s="197"/>
      <c r="AME12" s="197"/>
      <c r="AMF12" s="197"/>
      <c r="AMG12" s="197"/>
      <c r="AMH12" s="197"/>
      <c r="AMI12" s="197"/>
      <c r="AMJ12" s="197"/>
      <c r="AMK12" s="197"/>
      <c r="AML12" s="197" t="s">
        <v>49</v>
      </c>
      <c r="AMM12" s="197"/>
      <c r="AMN12" s="197"/>
      <c r="AMO12" s="197"/>
      <c r="AMP12" s="197"/>
      <c r="AMQ12" s="197"/>
      <c r="AMR12" s="197"/>
      <c r="AMS12" s="197"/>
      <c r="AMT12" s="197"/>
      <c r="AMU12" s="197"/>
      <c r="AMV12" s="197"/>
      <c r="AMW12" s="197"/>
      <c r="AMX12" s="197"/>
      <c r="AMY12" s="197"/>
      <c r="AMZ12" s="197"/>
      <c r="ANA12" s="197"/>
      <c r="ANB12" s="197"/>
      <c r="ANC12" s="197"/>
      <c r="AND12" s="197"/>
      <c r="ANE12" s="197"/>
      <c r="ANF12" s="197"/>
      <c r="ANG12" s="197"/>
      <c r="ANH12" s="197"/>
      <c r="ANI12" s="197"/>
      <c r="ANJ12" s="197"/>
      <c r="ANK12" s="197"/>
      <c r="ANL12" s="197"/>
      <c r="ANM12" s="197"/>
      <c r="ANN12" s="197"/>
      <c r="ANO12" s="197"/>
      <c r="ANP12" s="197"/>
      <c r="ANQ12" s="197"/>
      <c r="ANR12" s="197"/>
      <c r="ANS12" s="197"/>
      <c r="ANT12" s="197"/>
      <c r="ANU12" s="197"/>
      <c r="ANV12" s="197"/>
      <c r="ANW12" s="197"/>
      <c r="ANX12" s="197"/>
      <c r="ANY12" s="197"/>
      <c r="ANZ12" s="197"/>
      <c r="AOA12" s="197"/>
      <c r="AOB12" s="197"/>
      <c r="AOC12" s="197"/>
      <c r="AOD12" s="197"/>
      <c r="AOE12" s="197"/>
      <c r="AOF12" s="197"/>
      <c r="AOG12" s="197"/>
      <c r="AOH12" s="197"/>
      <c r="AOI12" s="197"/>
      <c r="AOJ12" s="197"/>
      <c r="AOK12" s="197"/>
      <c r="AOL12" s="197"/>
      <c r="AOM12" s="197"/>
      <c r="AON12" s="197"/>
      <c r="AOO12" s="197"/>
      <c r="AOP12" s="197"/>
      <c r="AOQ12" s="197"/>
      <c r="AOR12" s="197"/>
      <c r="AOS12" s="197"/>
      <c r="AOT12" s="197" t="s">
        <v>50</v>
      </c>
      <c r="AOU12" s="197"/>
      <c r="AOV12" s="197"/>
      <c r="AOW12" s="197"/>
      <c r="AOX12" s="197"/>
      <c r="AOY12" s="197"/>
      <c r="AOZ12" s="197"/>
      <c r="APA12" s="197"/>
      <c r="APB12" s="197"/>
      <c r="APC12" s="197"/>
      <c r="APD12" s="197"/>
      <c r="APE12" s="197"/>
      <c r="APF12" s="197"/>
      <c r="APG12" s="197"/>
      <c r="APH12" s="197"/>
      <c r="API12" s="197"/>
      <c r="APJ12" s="197"/>
      <c r="APK12" s="197"/>
      <c r="APL12" s="197"/>
      <c r="APM12" s="197"/>
      <c r="APN12" s="197"/>
      <c r="APO12" s="197"/>
      <c r="APP12" s="197"/>
      <c r="APQ12" s="197"/>
      <c r="APR12" s="197"/>
      <c r="APS12" s="197"/>
      <c r="APT12" s="197"/>
      <c r="APU12" s="197"/>
      <c r="APV12" s="197"/>
      <c r="APW12" s="197"/>
      <c r="APX12" s="197"/>
      <c r="APY12" s="197"/>
      <c r="APZ12" s="197"/>
      <c r="AQA12" s="197"/>
      <c r="AQB12" s="197"/>
      <c r="AQC12" s="197"/>
      <c r="AQD12" s="197"/>
      <c r="AQE12" s="197"/>
      <c r="AQF12" s="197"/>
      <c r="AQG12" s="197"/>
      <c r="AQH12" s="197"/>
      <c r="AQI12" s="197"/>
      <c r="AQJ12" s="197"/>
      <c r="AQK12" s="197"/>
      <c r="AQL12" s="197"/>
      <c r="AQM12" s="197"/>
      <c r="AQN12" s="197"/>
      <c r="AQO12" s="197"/>
      <c r="AQP12" s="197"/>
      <c r="AQQ12" s="197"/>
      <c r="AQR12" s="197"/>
      <c r="AQS12" s="197"/>
      <c r="AQT12" s="197"/>
      <c r="AQU12" s="197"/>
      <c r="AQV12" s="197"/>
      <c r="AQW12" s="197"/>
      <c r="AQX12" s="197"/>
      <c r="AQY12" s="197"/>
      <c r="AQZ12" s="197"/>
      <c r="ARA12" s="197"/>
      <c r="ARB12" s="197" t="s">
        <v>49</v>
      </c>
      <c r="ARC12" s="197"/>
      <c r="ARD12" s="197"/>
      <c r="ARE12" s="197"/>
      <c r="ARF12" s="197"/>
      <c r="ARG12" s="197"/>
      <c r="ARH12" s="197"/>
      <c r="ARI12" s="197"/>
      <c r="ARJ12" s="197"/>
      <c r="ARK12" s="197"/>
      <c r="ARL12" s="197"/>
      <c r="ARM12" s="197"/>
      <c r="ARN12" s="197"/>
      <c r="ARO12" s="197"/>
      <c r="ARP12" s="197"/>
      <c r="ARQ12" s="197"/>
      <c r="ARR12" s="197"/>
      <c r="ARS12" s="197"/>
      <c r="ART12" s="197"/>
      <c r="ARU12" s="197"/>
      <c r="ARV12" s="197"/>
      <c r="ARW12" s="197"/>
      <c r="ARX12" s="197"/>
      <c r="ARY12" s="197"/>
      <c r="ARZ12" s="197"/>
      <c r="ASA12" s="197"/>
      <c r="ASB12" s="197"/>
      <c r="ASC12" s="197"/>
      <c r="ASD12" s="197"/>
      <c r="ASE12" s="197"/>
      <c r="ASF12" s="197"/>
      <c r="ASG12" s="197"/>
      <c r="ASH12" s="197"/>
      <c r="ASI12" s="197"/>
      <c r="ASJ12" s="197"/>
      <c r="ASK12" s="197"/>
      <c r="ASL12" s="197"/>
      <c r="ASM12" s="197"/>
      <c r="ASN12" s="197"/>
      <c r="ASO12" s="197"/>
      <c r="ASP12" s="197"/>
      <c r="ASQ12" s="197"/>
      <c r="ASR12" s="197"/>
      <c r="ASS12" s="197"/>
      <c r="AST12" s="197"/>
      <c r="ASU12" s="197"/>
      <c r="ASV12" s="197"/>
      <c r="ASW12" s="197"/>
      <c r="ASX12" s="197"/>
      <c r="ASY12" s="197"/>
      <c r="ASZ12" s="197"/>
      <c r="ATA12" s="197"/>
      <c r="ATB12" s="197"/>
      <c r="ATC12" s="197"/>
      <c r="ATD12" s="197"/>
      <c r="ATE12" s="197"/>
      <c r="ATF12" s="197"/>
      <c r="ATG12" s="197"/>
      <c r="ATH12" s="197"/>
      <c r="ATI12" s="197"/>
      <c r="ATJ12" s="197" t="s">
        <v>50</v>
      </c>
      <c r="ATK12" s="197"/>
      <c r="ATL12" s="197"/>
      <c r="ATM12" s="197"/>
      <c r="ATN12" s="197"/>
      <c r="ATO12" s="197"/>
      <c r="ATP12" s="197"/>
      <c r="ATQ12" s="197"/>
      <c r="ATR12" s="197"/>
      <c r="ATS12" s="197"/>
      <c r="ATT12" s="197"/>
      <c r="ATU12" s="197"/>
      <c r="ATV12" s="197"/>
      <c r="ATW12" s="197"/>
      <c r="ATX12" s="197"/>
      <c r="ATY12" s="197"/>
      <c r="ATZ12" s="197"/>
      <c r="AUA12" s="197"/>
      <c r="AUB12" s="197"/>
      <c r="AUC12" s="197"/>
      <c r="AUD12" s="197"/>
      <c r="AUE12" s="197"/>
      <c r="AUF12" s="197"/>
      <c r="AUG12" s="197"/>
      <c r="AUH12" s="197"/>
      <c r="AUI12" s="197"/>
      <c r="AUJ12" s="197"/>
      <c r="AUK12" s="197"/>
      <c r="AUL12" s="197"/>
      <c r="AUM12" s="197"/>
      <c r="AUN12" s="197"/>
      <c r="AUO12" s="197"/>
      <c r="AUP12" s="197"/>
      <c r="AUQ12" s="197"/>
      <c r="AUR12" s="197"/>
      <c r="AUS12" s="197"/>
      <c r="AUT12" s="197"/>
      <c r="AUU12" s="197"/>
      <c r="AUV12" s="197"/>
      <c r="AUW12" s="197"/>
      <c r="AUX12" s="197"/>
      <c r="AUY12" s="197"/>
      <c r="AUZ12" s="197"/>
      <c r="AVA12" s="197"/>
      <c r="AVB12" s="197"/>
      <c r="AVC12" s="197"/>
      <c r="AVD12" s="197"/>
      <c r="AVE12" s="197"/>
      <c r="AVF12" s="197"/>
      <c r="AVG12" s="197"/>
      <c r="AVH12" s="197"/>
      <c r="AVI12" s="197"/>
      <c r="AVJ12" s="197"/>
      <c r="AVK12" s="197"/>
      <c r="AVL12" s="197"/>
      <c r="AVM12" s="197"/>
      <c r="AVN12" s="197"/>
      <c r="AVO12" s="197"/>
      <c r="AVP12" s="197"/>
      <c r="AVQ12" s="197"/>
      <c r="AVR12" s="197" t="s">
        <v>49</v>
      </c>
      <c r="AVS12" s="197"/>
      <c r="AVT12" s="197"/>
      <c r="AVU12" s="197"/>
      <c r="AVV12" s="197"/>
      <c r="AVW12" s="197"/>
      <c r="AVX12" s="197"/>
      <c r="AVY12" s="197"/>
      <c r="AVZ12" s="197"/>
      <c r="AWA12" s="197"/>
      <c r="AWB12" s="197"/>
      <c r="AWC12" s="197"/>
      <c r="AWD12" s="197"/>
      <c r="AWE12" s="197"/>
      <c r="AWF12" s="197"/>
      <c r="AWG12" s="197"/>
      <c r="AWH12" s="197"/>
      <c r="AWI12" s="197"/>
      <c r="AWJ12" s="197"/>
      <c r="AWK12" s="197"/>
      <c r="AWL12" s="197"/>
      <c r="AWM12" s="197"/>
      <c r="AWN12" s="197"/>
      <c r="AWO12" s="197"/>
      <c r="AWP12" s="197"/>
      <c r="AWQ12" s="197"/>
      <c r="AWR12" s="197"/>
      <c r="AWS12" s="197"/>
      <c r="AWT12" s="197"/>
      <c r="AWU12" s="197"/>
      <c r="AWV12" s="197"/>
      <c r="AWW12" s="197"/>
      <c r="AWX12" s="197"/>
      <c r="AWY12" s="197"/>
      <c r="AWZ12" s="197"/>
      <c r="AXA12" s="197"/>
      <c r="AXB12" s="197"/>
      <c r="AXC12" s="197"/>
      <c r="AXD12" s="197"/>
      <c r="AXE12" s="197"/>
      <c r="AXF12" s="197"/>
      <c r="AXG12" s="197"/>
      <c r="AXH12" s="197"/>
      <c r="AXI12" s="197"/>
      <c r="AXJ12" s="197"/>
      <c r="AXK12" s="197"/>
      <c r="AXL12" s="197"/>
      <c r="AXM12" s="197"/>
      <c r="AXN12" s="197"/>
      <c r="AXO12" s="197"/>
      <c r="AXP12" s="197"/>
      <c r="AXQ12" s="197"/>
      <c r="AXR12" s="197"/>
      <c r="AXS12" s="197"/>
      <c r="AXT12" s="197"/>
      <c r="AXU12" s="197"/>
      <c r="AXV12" s="197"/>
      <c r="AXW12" s="197"/>
      <c r="AXX12" s="197"/>
      <c r="AXY12" s="197"/>
      <c r="AXZ12" s="197" t="s">
        <v>49</v>
      </c>
      <c r="AYA12" s="197"/>
      <c r="AYB12" s="197"/>
      <c r="AYC12" s="197"/>
      <c r="AYD12" s="197"/>
      <c r="AYE12" s="197"/>
      <c r="AYF12" s="197"/>
      <c r="AYG12" s="197"/>
      <c r="AYH12" s="197"/>
      <c r="AYI12" s="197"/>
      <c r="AYJ12" s="197"/>
      <c r="AYK12" s="197"/>
      <c r="AYL12" s="197"/>
      <c r="AYM12" s="197"/>
      <c r="AYN12" s="197"/>
      <c r="AYO12" s="197"/>
      <c r="AYP12" s="197"/>
      <c r="AYQ12" s="197"/>
      <c r="AYR12" s="197"/>
      <c r="AYS12" s="197"/>
      <c r="AYT12" s="197"/>
      <c r="AYU12" s="197"/>
      <c r="AYV12" s="197"/>
      <c r="AYW12" s="197"/>
      <c r="AYX12" s="197"/>
      <c r="AYY12" s="197"/>
      <c r="AYZ12" s="197"/>
      <c r="AZA12" s="197"/>
      <c r="AZB12" s="197"/>
      <c r="AZC12" s="197"/>
      <c r="AZD12" s="197"/>
      <c r="AZE12" s="197"/>
      <c r="AZF12" s="197"/>
      <c r="AZG12" s="197"/>
      <c r="AZH12" s="197"/>
      <c r="AZI12" s="197"/>
      <c r="AZJ12" s="197"/>
      <c r="AZK12" s="197"/>
      <c r="AZL12" s="197"/>
      <c r="AZM12" s="197"/>
      <c r="AZN12" s="197"/>
      <c r="AZO12" s="197"/>
      <c r="AZP12" s="197"/>
      <c r="AZQ12" s="197"/>
      <c r="AZR12" s="197"/>
      <c r="AZS12" s="197"/>
      <c r="AZT12" s="197"/>
      <c r="AZU12" s="197"/>
      <c r="AZV12" s="197"/>
      <c r="AZW12" s="197"/>
      <c r="AZX12" s="197"/>
      <c r="AZY12" s="197"/>
      <c r="AZZ12" s="197"/>
      <c r="BAA12" s="197"/>
      <c r="BAB12" s="197"/>
      <c r="BAC12" s="197"/>
      <c r="BAD12" s="197"/>
      <c r="BAE12" s="197"/>
      <c r="BAF12" s="197"/>
      <c r="BAG12" s="197"/>
      <c r="BAH12" s="197" t="s">
        <v>50</v>
      </c>
      <c r="BAI12" s="197"/>
      <c r="BAJ12" s="197"/>
      <c r="BAK12" s="197"/>
      <c r="BAL12" s="197"/>
      <c r="BAM12" s="197"/>
      <c r="BAN12" s="197"/>
      <c r="BAO12" s="197"/>
      <c r="BAP12" s="197"/>
      <c r="BAQ12" s="197"/>
      <c r="BAR12" s="197"/>
      <c r="BAS12" s="197"/>
      <c r="BAT12" s="197"/>
      <c r="BAU12" s="197"/>
      <c r="BAV12" s="197"/>
      <c r="BAW12" s="197"/>
      <c r="BAX12" s="197"/>
      <c r="BAY12" s="197"/>
      <c r="BAZ12" s="197"/>
      <c r="BBA12" s="197"/>
      <c r="BBB12" s="197"/>
      <c r="BBC12" s="197"/>
      <c r="BBD12" s="197"/>
      <c r="BBE12" s="197"/>
      <c r="BBF12" s="197"/>
      <c r="BBG12" s="197"/>
      <c r="BBH12" s="197"/>
      <c r="BBI12" s="197"/>
      <c r="BBJ12" s="197"/>
      <c r="BBK12" s="197"/>
      <c r="BBL12" s="197"/>
      <c r="BBM12" s="197"/>
      <c r="BBN12" s="197"/>
      <c r="BBO12" s="197"/>
      <c r="BBP12" s="197"/>
      <c r="BBQ12" s="197"/>
      <c r="BBR12" s="197"/>
      <c r="BBS12" s="197"/>
      <c r="BBT12" s="197"/>
      <c r="BBU12" s="197"/>
      <c r="BBV12" s="197"/>
      <c r="BBW12" s="197"/>
      <c r="BBX12" s="197"/>
      <c r="BBY12" s="197"/>
      <c r="BBZ12" s="197"/>
      <c r="BCA12" s="197"/>
      <c r="BCB12" s="197"/>
      <c r="BCC12" s="197"/>
      <c r="BCD12" s="197"/>
      <c r="BCE12" s="197"/>
      <c r="BCF12" s="197"/>
      <c r="BCG12" s="197"/>
      <c r="BCH12" s="197"/>
      <c r="BCI12" s="197"/>
      <c r="BCJ12" s="197"/>
      <c r="BCK12" s="197"/>
      <c r="BCL12" s="197"/>
      <c r="BCM12" s="197"/>
      <c r="BCN12" s="197"/>
      <c r="BCO12" s="197"/>
      <c r="BCP12" s="197" t="s">
        <v>49</v>
      </c>
      <c r="BCQ12" s="197"/>
      <c r="BCR12" s="197"/>
      <c r="BCS12" s="197"/>
      <c r="BCT12" s="197"/>
      <c r="BCU12" s="197"/>
      <c r="BCV12" s="197"/>
      <c r="BCW12" s="197"/>
      <c r="BCX12" s="197"/>
      <c r="BCY12" s="197"/>
      <c r="BCZ12" s="197"/>
      <c r="BDA12" s="197"/>
      <c r="BDB12" s="197"/>
      <c r="BDC12" s="197"/>
      <c r="BDD12" s="197"/>
      <c r="BDE12" s="197"/>
      <c r="BDF12" s="197"/>
      <c r="BDG12" s="197"/>
      <c r="BDH12" s="197"/>
      <c r="BDI12" s="197"/>
      <c r="BDJ12" s="197"/>
      <c r="BDK12" s="197"/>
      <c r="BDL12" s="197"/>
      <c r="BDM12" s="197"/>
      <c r="BDN12" s="197"/>
      <c r="BDO12" s="197"/>
      <c r="BDP12" s="197"/>
      <c r="BDQ12" s="197"/>
      <c r="BDR12" s="197"/>
      <c r="BDS12" s="197"/>
      <c r="BDT12" s="197"/>
      <c r="BDU12" s="197"/>
      <c r="BDV12" s="197"/>
      <c r="BDW12" s="197"/>
      <c r="BDX12" s="197"/>
      <c r="BDY12" s="197"/>
      <c r="BDZ12" s="197"/>
      <c r="BEA12" s="197"/>
      <c r="BEB12" s="197"/>
      <c r="BEC12" s="197"/>
      <c r="BED12" s="197"/>
      <c r="BEE12" s="197"/>
      <c r="BEF12" s="197"/>
      <c r="BEG12" s="197"/>
      <c r="BEH12" s="197"/>
      <c r="BEI12" s="197"/>
      <c r="BEJ12" s="197"/>
      <c r="BEK12" s="197"/>
      <c r="BEL12" s="197"/>
      <c r="BEM12" s="197"/>
      <c r="BEN12" s="197"/>
      <c r="BEO12" s="197"/>
      <c r="BEP12" s="197"/>
      <c r="BEQ12" s="197"/>
      <c r="BER12" s="197"/>
      <c r="BES12" s="197"/>
      <c r="BET12" s="197"/>
      <c r="BEU12" s="197"/>
      <c r="BEV12" s="197"/>
      <c r="BEW12" s="197"/>
      <c r="BEX12" s="197" t="s">
        <v>49</v>
      </c>
      <c r="BEY12" s="197"/>
      <c r="BEZ12" s="197"/>
      <c r="BFA12" s="197"/>
      <c r="BFB12" s="197"/>
      <c r="BFC12" s="197"/>
      <c r="BFD12" s="197"/>
      <c r="BFE12" s="197"/>
      <c r="BFF12" s="197"/>
      <c r="BFG12" s="197"/>
      <c r="BFH12" s="197"/>
      <c r="BFI12" s="197"/>
      <c r="BFJ12" s="197"/>
      <c r="BFK12" s="197"/>
      <c r="BFL12" s="197"/>
      <c r="BFM12" s="197"/>
      <c r="BFN12" s="197"/>
      <c r="BFO12" s="197"/>
      <c r="BFP12" s="197"/>
      <c r="BFQ12" s="197"/>
      <c r="BFR12" s="197"/>
      <c r="BFS12" s="197"/>
      <c r="BFT12" s="197"/>
      <c r="BFU12" s="197"/>
      <c r="BFV12" s="197"/>
      <c r="BFW12" s="197"/>
      <c r="BFX12" s="197"/>
      <c r="BFY12" s="197"/>
      <c r="BFZ12" s="197"/>
      <c r="BGA12" s="197"/>
      <c r="BGB12" s="197"/>
      <c r="BGC12" s="197"/>
      <c r="BGD12" s="197"/>
      <c r="BGE12" s="197"/>
      <c r="BGF12" s="197"/>
      <c r="BGG12" s="197"/>
      <c r="BGH12" s="197"/>
      <c r="BGI12" s="197"/>
      <c r="BGJ12" s="197"/>
      <c r="BGK12" s="197"/>
      <c r="BGL12" s="197"/>
      <c r="BGM12" s="197"/>
      <c r="BGN12" s="197"/>
      <c r="BGO12" s="197"/>
      <c r="BGP12" s="197"/>
      <c r="BGQ12" s="197"/>
      <c r="BGR12" s="197"/>
      <c r="BGS12" s="197"/>
      <c r="BGT12" s="197"/>
      <c r="BGU12" s="197"/>
      <c r="BGV12" s="197"/>
      <c r="BGW12" s="197"/>
      <c r="BGX12" s="197"/>
      <c r="BGY12" s="197"/>
      <c r="BGZ12" s="197"/>
      <c r="BHA12" s="197"/>
      <c r="BHB12" s="197"/>
      <c r="BHC12" s="197"/>
      <c r="BHD12" s="197"/>
      <c r="BHE12" s="197"/>
      <c r="BHF12" s="197" t="s">
        <v>50</v>
      </c>
      <c r="BHG12" s="197"/>
      <c r="BHH12" s="197"/>
      <c r="BHI12" s="197"/>
      <c r="BHJ12" s="197"/>
      <c r="BHK12" s="197"/>
      <c r="BHL12" s="197"/>
      <c r="BHM12" s="197"/>
      <c r="BHN12" s="197"/>
      <c r="BHO12" s="197"/>
      <c r="BHP12" s="197"/>
      <c r="BHQ12" s="197"/>
      <c r="BHR12" s="197"/>
      <c r="BHS12" s="197"/>
      <c r="BHT12" s="197"/>
      <c r="BHU12" s="197"/>
      <c r="BHV12" s="197"/>
      <c r="BHW12" s="197"/>
      <c r="BHX12" s="197"/>
      <c r="BHY12" s="197"/>
      <c r="BHZ12" s="197"/>
      <c r="BIA12" s="197"/>
      <c r="BIB12" s="197"/>
      <c r="BIC12" s="197"/>
      <c r="BID12" s="197"/>
      <c r="BIE12" s="197"/>
      <c r="BIF12" s="197"/>
      <c r="BIG12" s="197"/>
      <c r="BIH12" s="197"/>
      <c r="BII12" s="197"/>
      <c r="BIJ12" s="197"/>
      <c r="BIK12" s="197"/>
      <c r="BIL12" s="197"/>
      <c r="BIM12" s="197"/>
      <c r="BIN12" s="197"/>
      <c r="BIO12" s="197"/>
      <c r="BIP12" s="197"/>
      <c r="BIQ12" s="197"/>
      <c r="BIR12" s="197"/>
      <c r="BIS12" s="197"/>
      <c r="BIT12" s="197"/>
      <c r="BIU12" s="197"/>
      <c r="BIV12" s="197"/>
      <c r="BIW12" s="197"/>
      <c r="BIX12" s="197"/>
      <c r="BIY12" s="197"/>
      <c r="BIZ12" s="197"/>
      <c r="BJA12" s="197"/>
      <c r="BJB12" s="197"/>
      <c r="BJC12" s="197"/>
      <c r="BJD12" s="197"/>
      <c r="BJE12" s="197"/>
      <c r="BJF12" s="197"/>
      <c r="BJG12" s="197"/>
      <c r="BJH12" s="197"/>
      <c r="BJI12" s="197"/>
      <c r="BJJ12" s="197"/>
      <c r="BJK12" s="197"/>
      <c r="BJL12" s="197"/>
      <c r="BJM12" s="197"/>
      <c r="BJN12" s="90"/>
    </row>
    <row r="13" spans="1:1626" ht="42.75" customHeight="1" thickBot="1" x14ac:dyDescent="0.3">
      <c r="B13" s="96"/>
      <c r="C13" s="210" t="s">
        <v>6</v>
      </c>
      <c r="D13" s="144"/>
      <c r="E13" s="212" t="s">
        <v>37</v>
      </c>
      <c r="F13" s="198" t="s">
        <v>7</v>
      </c>
      <c r="G13" s="199"/>
      <c r="H13" s="199"/>
      <c r="I13" s="199"/>
      <c r="J13" s="199"/>
      <c r="K13" s="199"/>
      <c r="L13" s="199"/>
      <c r="M13" s="199"/>
      <c r="N13" s="199"/>
      <c r="O13" s="199"/>
      <c r="P13" s="199"/>
      <c r="Q13" s="199"/>
      <c r="R13" s="199"/>
      <c r="S13" s="199"/>
      <c r="T13" s="199"/>
      <c r="U13" s="199"/>
      <c r="V13" s="199"/>
      <c r="W13" s="199"/>
      <c r="X13" s="199"/>
      <c r="Y13" s="199"/>
      <c r="Z13" s="199"/>
      <c r="AA13" s="199"/>
      <c r="AB13" s="199"/>
      <c r="AC13" s="199"/>
      <c r="AD13" s="199"/>
      <c r="AE13" s="199"/>
      <c r="AF13" s="199"/>
      <c r="AG13" s="199"/>
      <c r="AH13" s="199"/>
      <c r="AI13" s="199"/>
      <c r="AJ13" s="199"/>
      <c r="AK13" s="199"/>
      <c r="AL13" s="199"/>
      <c r="AM13" s="199"/>
      <c r="AN13" s="199"/>
      <c r="AO13" s="199"/>
      <c r="AP13" s="199"/>
      <c r="AQ13" s="199"/>
      <c r="AR13" s="199"/>
      <c r="AS13" s="199"/>
      <c r="AT13" s="199"/>
      <c r="AU13" s="199"/>
      <c r="AV13" s="199"/>
      <c r="AW13" s="199"/>
      <c r="AX13" s="199"/>
      <c r="AY13" s="199"/>
      <c r="AZ13" s="199"/>
      <c r="BA13" s="199"/>
      <c r="BB13" s="199"/>
      <c r="BC13" s="199"/>
      <c r="BD13" s="199"/>
      <c r="BE13" s="199"/>
      <c r="BF13" s="199"/>
      <c r="BG13" s="199"/>
      <c r="BH13" s="199"/>
      <c r="BI13" s="199"/>
      <c r="BJ13" s="199"/>
      <c r="BK13" s="199"/>
      <c r="BL13" s="199"/>
      <c r="BM13" s="200"/>
      <c r="BN13" s="198" t="s">
        <v>26</v>
      </c>
      <c r="BO13" s="199"/>
      <c r="BP13" s="199"/>
      <c r="BQ13" s="199"/>
      <c r="BR13" s="199"/>
      <c r="BS13" s="199"/>
      <c r="BT13" s="199"/>
      <c r="BU13" s="199"/>
      <c r="BV13" s="199"/>
      <c r="BW13" s="199"/>
      <c r="BX13" s="199"/>
      <c r="BY13" s="199"/>
      <c r="BZ13" s="199"/>
      <c r="CA13" s="199"/>
      <c r="CB13" s="199"/>
      <c r="CC13" s="199"/>
      <c r="CD13" s="199"/>
      <c r="CE13" s="199"/>
      <c r="CF13" s="199"/>
      <c r="CG13" s="199"/>
      <c r="CH13" s="199"/>
      <c r="CI13" s="199"/>
      <c r="CJ13" s="199"/>
      <c r="CK13" s="199"/>
      <c r="CL13" s="199"/>
      <c r="CM13" s="199"/>
      <c r="CN13" s="199"/>
      <c r="CO13" s="199"/>
      <c r="CP13" s="199"/>
      <c r="CQ13" s="199"/>
      <c r="CR13" s="199"/>
      <c r="CS13" s="199"/>
      <c r="CT13" s="199"/>
      <c r="CU13" s="199"/>
      <c r="CV13" s="199"/>
      <c r="CW13" s="199"/>
      <c r="CX13" s="199"/>
      <c r="CY13" s="199"/>
      <c r="CZ13" s="199"/>
      <c r="DA13" s="199"/>
      <c r="DB13" s="199"/>
      <c r="DC13" s="199"/>
      <c r="DD13" s="199"/>
      <c r="DE13" s="199"/>
      <c r="DF13" s="199"/>
      <c r="DG13" s="199"/>
      <c r="DH13" s="199"/>
      <c r="DI13" s="199"/>
      <c r="DJ13" s="199"/>
      <c r="DK13" s="199"/>
      <c r="DL13" s="199"/>
      <c r="DM13" s="199"/>
      <c r="DN13" s="199"/>
      <c r="DO13" s="199"/>
      <c r="DP13" s="199"/>
      <c r="DQ13" s="199"/>
      <c r="DR13" s="199"/>
      <c r="DS13" s="199"/>
      <c r="DT13" s="199"/>
      <c r="DU13" s="200"/>
      <c r="DV13" s="198" t="s">
        <v>17</v>
      </c>
      <c r="DW13" s="199"/>
      <c r="DX13" s="199"/>
      <c r="DY13" s="199"/>
      <c r="DZ13" s="199"/>
      <c r="EA13" s="199"/>
      <c r="EB13" s="199"/>
      <c r="EC13" s="199"/>
      <c r="ED13" s="199"/>
      <c r="EE13" s="199"/>
      <c r="EF13" s="199"/>
      <c r="EG13" s="199"/>
      <c r="EH13" s="199"/>
      <c r="EI13" s="199"/>
      <c r="EJ13" s="199"/>
      <c r="EK13" s="199"/>
      <c r="EL13" s="199"/>
      <c r="EM13" s="199"/>
      <c r="EN13" s="199"/>
      <c r="EO13" s="199"/>
      <c r="EP13" s="199"/>
      <c r="EQ13" s="199"/>
      <c r="ER13" s="199"/>
      <c r="ES13" s="199"/>
      <c r="ET13" s="199"/>
      <c r="EU13" s="199"/>
      <c r="EV13" s="199"/>
      <c r="EW13" s="199"/>
      <c r="EX13" s="199"/>
      <c r="EY13" s="199"/>
      <c r="EZ13" s="199"/>
      <c r="FA13" s="199"/>
      <c r="FB13" s="199"/>
      <c r="FC13" s="199"/>
      <c r="FD13" s="199"/>
      <c r="FE13" s="199"/>
      <c r="FF13" s="199"/>
      <c r="FG13" s="199"/>
      <c r="FH13" s="199"/>
      <c r="FI13" s="199"/>
      <c r="FJ13" s="199"/>
      <c r="FK13" s="199"/>
      <c r="FL13" s="199"/>
      <c r="FM13" s="199"/>
      <c r="FN13" s="199"/>
      <c r="FO13" s="199"/>
      <c r="FP13" s="199"/>
      <c r="FQ13" s="199"/>
      <c r="FR13" s="199"/>
      <c r="FS13" s="199"/>
      <c r="FT13" s="199"/>
      <c r="FU13" s="199"/>
      <c r="FV13" s="199"/>
      <c r="FW13" s="199"/>
      <c r="FX13" s="199"/>
      <c r="FY13" s="199"/>
      <c r="FZ13" s="199"/>
      <c r="GA13" s="199"/>
      <c r="GB13" s="199"/>
      <c r="GC13" s="200"/>
      <c r="GD13" s="198" t="s">
        <v>131</v>
      </c>
      <c r="GE13" s="199"/>
      <c r="GF13" s="199"/>
      <c r="GG13" s="199"/>
      <c r="GH13" s="199"/>
      <c r="GI13" s="199"/>
      <c r="GJ13" s="199"/>
      <c r="GK13" s="199"/>
      <c r="GL13" s="199"/>
      <c r="GM13" s="199"/>
      <c r="GN13" s="199"/>
      <c r="GO13" s="199"/>
      <c r="GP13" s="199"/>
      <c r="GQ13" s="199"/>
      <c r="GR13" s="199"/>
      <c r="GS13" s="199"/>
      <c r="GT13" s="199"/>
      <c r="GU13" s="199"/>
      <c r="GV13" s="199"/>
      <c r="GW13" s="199"/>
      <c r="GX13" s="199"/>
      <c r="GY13" s="199"/>
      <c r="GZ13" s="199"/>
      <c r="HA13" s="199"/>
      <c r="HB13" s="199"/>
      <c r="HC13" s="199"/>
      <c r="HD13" s="199"/>
      <c r="HE13" s="199"/>
      <c r="HF13" s="199"/>
      <c r="HG13" s="199"/>
      <c r="HH13" s="199"/>
      <c r="HI13" s="199"/>
      <c r="HJ13" s="199"/>
      <c r="HK13" s="199"/>
      <c r="HL13" s="199"/>
      <c r="HM13" s="199"/>
      <c r="HN13" s="199"/>
      <c r="HO13" s="199"/>
      <c r="HP13" s="199"/>
      <c r="HQ13" s="199"/>
      <c r="HR13" s="199"/>
      <c r="HS13" s="199"/>
      <c r="HT13" s="199"/>
      <c r="HU13" s="199"/>
      <c r="HV13" s="199"/>
      <c r="HW13" s="199"/>
      <c r="HX13" s="199"/>
      <c r="HY13" s="199"/>
      <c r="HZ13" s="199"/>
      <c r="IA13" s="199"/>
      <c r="IB13" s="199"/>
      <c r="IC13" s="199"/>
      <c r="ID13" s="199"/>
      <c r="IE13" s="199"/>
      <c r="IF13" s="199"/>
      <c r="IG13" s="199"/>
      <c r="IH13" s="199"/>
      <c r="II13" s="199"/>
      <c r="IJ13" s="199"/>
      <c r="IK13" s="200"/>
      <c r="IL13" s="198" t="s">
        <v>129</v>
      </c>
      <c r="IM13" s="199"/>
      <c r="IN13" s="199"/>
      <c r="IO13" s="199"/>
      <c r="IP13" s="199"/>
      <c r="IQ13" s="199"/>
      <c r="IR13" s="199"/>
      <c r="IS13" s="199"/>
      <c r="IT13" s="199"/>
      <c r="IU13" s="199"/>
      <c r="IV13" s="199"/>
      <c r="IW13" s="199"/>
      <c r="IX13" s="199"/>
      <c r="IY13" s="199"/>
      <c r="IZ13" s="199"/>
      <c r="JA13" s="199"/>
      <c r="JB13" s="199"/>
      <c r="JC13" s="199"/>
      <c r="JD13" s="199"/>
      <c r="JE13" s="199"/>
      <c r="JF13" s="199"/>
      <c r="JG13" s="199"/>
      <c r="JH13" s="199"/>
      <c r="JI13" s="199"/>
      <c r="JJ13" s="199"/>
      <c r="JK13" s="199"/>
      <c r="JL13" s="199"/>
      <c r="JM13" s="199"/>
      <c r="JN13" s="199"/>
      <c r="JO13" s="199"/>
      <c r="JP13" s="199"/>
      <c r="JQ13" s="199"/>
      <c r="JR13" s="199"/>
      <c r="JS13" s="199"/>
      <c r="JT13" s="199"/>
      <c r="JU13" s="199"/>
      <c r="JV13" s="199"/>
      <c r="JW13" s="199"/>
      <c r="JX13" s="199"/>
      <c r="JY13" s="199"/>
      <c r="JZ13" s="199"/>
      <c r="KA13" s="199"/>
      <c r="KB13" s="199"/>
      <c r="KC13" s="199"/>
      <c r="KD13" s="199"/>
      <c r="KE13" s="199"/>
      <c r="KF13" s="199"/>
      <c r="KG13" s="199"/>
      <c r="KH13" s="199"/>
      <c r="KI13" s="199"/>
      <c r="KJ13" s="199"/>
      <c r="KK13" s="199"/>
      <c r="KL13" s="199"/>
      <c r="KM13" s="199"/>
      <c r="KN13" s="199"/>
      <c r="KO13" s="199"/>
      <c r="KP13" s="199"/>
      <c r="KQ13" s="199"/>
      <c r="KR13" s="199"/>
      <c r="KS13" s="200"/>
      <c r="KT13" s="198" t="s">
        <v>128</v>
      </c>
      <c r="KU13" s="199"/>
      <c r="KV13" s="199"/>
      <c r="KW13" s="199"/>
      <c r="KX13" s="199"/>
      <c r="KY13" s="199"/>
      <c r="KZ13" s="199"/>
      <c r="LA13" s="199"/>
      <c r="LB13" s="199"/>
      <c r="LC13" s="199"/>
      <c r="LD13" s="199"/>
      <c r="LE13" s="199"/>
      <c r="LF13" s="199"/>
      <c r="LG13" s="199"/>
      <c r="LH13" s="199"/>
      <c r="LI13" s="199"/>
      <c r="LJ13" s="199"/>
      <c r="LK13" s="199"/>
      <c r="LL13" s="199"/>
      <c r="LM13" s="199"/>
      <c r="LN13" s="199"/>
      <c r="LO13" s="199"/>
      <c r="LP13" s="199"/>
      <c r="LQ13" s="199"/>
      <c r="LR13" s="199"/>
      <c r="LS13" s="199"/>
      <c r="LT13" s="199"/>
      <c r="LU13" s="199"/>
      <c r="LV13" s="199"/>
      <c r="LW13" s="199"/>
      <c r="LX13" s="199"/>
      <c r="LY13" s="199"/>
      <c r="LZ13" s="199"/>
      <c r="MA13" s="199"/>
      <c r="MB13" s="199"/>
      <c r="MC13" s="199"/>
      <c r="MD13" s="199"/>
      <c r="ME13" s="199"/>
      <c r="MF13" s="199"/>
      <c r="MG13" s="199"/>
      <c r="MH13" s="199"/>
      <c r="MI13" s="199"/>
      <c r="MJ13" s="199"/>
      <c r="MK13" s="199"/>
      <c r="ML13" s="199"/>
      <c r="MM13" s="199"/>
      <c r="MN13" s="199"/>
      <c r="MO13" s="199"/>
      <c r="MP13" s="199"/>
      <c r="MQ13" s="199"/>
      <c r="MR13" s="199"/>
      <c r="MS13" s="199"/>
      <c r="MT13" s="199"/>
      <c r="MU13" s="199"/>
      <c r="MV13" s="199"/>
      <c r="MW13" s="199"/>
      <c r="MX13" s="199"/>
      <c r="MY13" s="199"/>
      <c r="MZ13" s="199"/>
      <c r="NA13" s="200"/>
      <c r="NB13" s="198" t="s">
        <v>126</v>
      </c>
      <c r="NC13" s="199"/>
      <c r="ND13" s="199"/>
      <c r="NE13" s="199"/>
      <c r="NF13" s="199"/>
      <c r="NG13" s="199"/>
      <c r="NH13" s="199"/>
      <c r="NI13" s="199"/>
      <c r="NJ13" s="199"/>
      <c r="NK13" s="199"/>
      <c r="NL13" s="199"/>
      <c r="NM13" s="199"/>
      <c r="NN13" s="199"/>
      <c r="NO13" s="199"/>
      <c r="NP13" s="199"/>
      <c r="NQ13" s="199"/>
      <c r="NR13" s="199"/>
      <c r="NS13" s="199"/>
      <c r="NT13" s="199"/>
      <c r="NU13" s="199"/>
      <c r="NV13" s="199"/>
      <c r="NW13" s="199"/>
      <c r="NX13" s="199"/>
      <c r="NY13" s="199"/>
      <c r="NZ13" s="199"/>
      <c r="OA13" s="199"/>
      <c r="OB13" s="199"/>
      <c r="OC13" s="199"/>
      <c r="OD13" s="199"/>
      <c r="OE13" s="199"/>
      <c r="OF13" s="199"/>
      <c r="OG13" s="199"/>
      <c r="OH13" s="199"/>
      <c r="OI13" s="199"/>
      <c r="OJ13" s="199"/>
      <c r="OK13" s="199"/>
      <c r="OL13" s="199"/>
      <c r="OM13" s="199"/>
      <c r="ON13" s="199"/>
      <c r="OO13" s="199"/>
      <c r="OP13" s="199"/>
      <c r="OQ13" s="199"/>
      <c r="OR13" s="199"/>
      <c r="OS13" s="199"/>
      <c r="OT13" s="199"/>
      <c r="OU13" s="199"/>
      <c r="OV13" s="199"/>
      <c r="OW13" s="199"/>
      <c r="OX13" s="199"/>
      <c r="OY13" s="199"/>
      <c r="OZ13" s="199"/>
      <c r="PA13" s="199"/>
      <c r="PB13" s="199"/>
      <c r="PC13" s="199"/>
      <c r="PD13" s="199"/>
      <c r="PE13" s="199"/>
      <c r="PF13" s="199"/>
      <c r="PG13" s="199"/>
      <c r="PH13" s="199"/>
      <c r="PI13" s="200"/>
      <c r="PJ13" s="198" t="s">
        <v>124</v>
      </c>
      <c r="PK13" s="199"/>
      <c r="PL13" s="199"/>
      <c r="PM13" s="199"/>
      <c r="PN13" s="199"/>
      <c r="PO13" s="199"/>
      <c r="PP13" s="199"/>
      <c r="PQ13" s="199"/>
      <c r="PR13" s="199"/>
      <c r="PS13" s="199"/>
      <c r="PT13" s="199"/>
      <c r="PU13" s="199"/>
      <c r="PV13" s="199"/>
      <c r="PW13" s="199"/>
      <c r="PX13" s="199"/>
      <c r="PY13" s="199"/>
      <c r="PZ13" s="199"/>
      <c r="QA13" s="199"/>
      <c r="QB13" s="199"/>
      <c r="QC13" s="199"/>
      <c r="QD13" s="199"/>
      <c r="QE13" s="199"/>
      <c r="QF13" s="199"/>
      <c r="QG13" s="199"/>
      <c r="QH13" s="199"/>
      <c r="QI13" s="199"/>
      <c r="QJ13" s="199"/>
      <c r="QK13" s="199"/>
      <c r="QL13" s="199"/>
      <c r="QM13" s="199"/>
      <c r="QN13" s="199"/>
      <c r="QO13" s="199"/>
      <c r="QP13" s="199"/>
      <c r="QQ13" s="199"/>
      <c r="QR13" s="199"/>
      <c r="QS13" s="199"/>
      <c r="QT13" s="199"/>
      <c r="QU13" s="199"/>
      <c r="QV13" s="199"/>
      <c r="QW13" s="199"/>
      <c r="QX13" s="199"/>
      <c r="QY13" s="199"/>
      <c r="QZ13" s="199"/>
      <c r="RA13" s="199"/>
      <c r="RB13" s="199"/>
      <c r="RC13" s="199"/>
      <c r="RD13" s="199"/>
      <c r="RE13" s="199"/>
      <c r="RF13" s="199"/>
      <c r="RG13" s="199"/>
      <c r="RH13" s="199"/>
      <c r="RI13" s="199"/>
      <c r="RJ13" s="199"/>
      <c r="RK13" s="199"/>
      <c r="RL13" s="199"/>
      <c r="RM13" s="199"/>
      <c r="RN13" s="199"/>
      <c r="RO13" s="199"/>
      <c r="RP13" s="199"/>
      <c r="RQ13" s="200"/>
      <c r="RR13" s="198" t="s">
        <v>123</v>
      </c>
      <c r="RS13" s="199"/>
      <c r="RT13" s="199"/>
      <c r="RU13" s="199"/>
      <c r="RV13" s="199"/>
      <c r="RW13" s="199"/>
      <c r="RX13" s="199"/>
      <c r="RY13" s="199"/>
      <c r="RZ13" s="199"/>
      <c r="SA13" s="199"/>
      <c r="SB13" s="199"/>
      <c r="SC13" s="199"/>
      <c r="SD13" s="199"/>
      <c r="SE13" s="199"/>
      <c r="SF13" s="199"/>
      <c r="SG13" s="199"/>
      <c r="SH13" s="199"/>
      <c r="SI13" s="199"/>
      <c r="SJ13" s="199"/>
      <c r="SK13" s="199"/>
      <c r="SL13" s="199"/>
      <c r="SM13" s="199"/>
      <c r="SN13" s="199"/>
      <c r="SO13" s="199"/>
      <c r="SP13" s="199"/>
      <c r="SQ13" s="199"/>
      <c r="SR13" s="199"/>
      <c r="SS13" s="199"/>
      <c r="ST13" s="199"/>
      <c r="SU13" s="199"/>
      <c r="SV13" s="199"/>
      <c r="SW13" s="199"/>
      <c r="SX13" s="199"/>
      <c r="SY13" s="199"/>
      <c r="SZ13" s="199"/>
      <c r="TA13" s="199"/>
      <c r="TB13" s="199"/>
      <c r="TC13" s="199"/>
      <c r="TD13" s="199"/>
      <c r="TE13" s="199"/>
      <c r="TF13" s="199"/>
      <c r="TG13" s="199"/>
      <c r="TH13" s="199"/>
      <c r="TI13" s="199"/>
      <c r="TJ13" s="199"/>
      <c r="TK13" s="199"/>
      <c r="TL13" s="199"/>
      <c r="TM13" s="199"/>
      <c r="TN13" s="199"/>
      <c r="TO13" s="199"/>
      <c r="TP13" s="199"/>
      <c r="TQ13" s="199"/>
      <c r="TR13" s="199"/>
      <c r="TS13" s="199"/>
      <c r="TT13" s="199"/>
      <c r="TU13" s="199"/>
      <c r="TV13" s="199"/>
      <c r="TW13" s="199"/>
      <c r="TX13" s="199"/>
      <c r="TY13" s="200"/>
      <c r="TZ13" s="198" t="s">
        <v>121</v>
      </c>
      <c r="UA13" s="199"/>
      <c r="UB13" s="199"/>
      <c r="UC13" s="199"/>
      <c r="UD13" s="199"/>
      <c r="UE13" s="199"/>
      <c r="UF13" s="199"/>
      <c r="UG13" s="199"/>
      <c r="UH13" s="199"/>
      <c r="UI13" s="199"/>
      <c r="UJ13" s="199"/>
      <c r="UK13" s="199"/>
      <c r="UL13" s="199"/>
      <c r="UM13" s="199"/>
      <c r="UN13" s="199"/>
      <c r="UO13" s="199"/>
      <c r="UP13" s="199"/>
      <c r="UQ13" s="199"/>
      <c r="UR13" s="199"/>
      <c r="US13" s="199"/>
      <c r="UT13" s="199"/>
      <c r="UU13" s="199"/>
      <c r="UV13" s="199"/>
      <c r="UW13" s="199"/>
      <c r="UX13" s="199"/>
      <c r="UY13" s="199"/>
      <c r="UZ13" s="199"/>
      <c r="VA13" s="199"/>
      <c r="VB13" s="199"/>
      <c r="VC13" s="199"/>
      <c r="VD13" s="199"/>
      <c r="VE13" s="199"/>
      <c r="VF13" s="199"/>
      <c r="VG13" s="199"/>
      <c r="VH13" s="199"/>
      <c r="VI13" s="199"/>
      <c r="VJ13" s="199"/>
      <c r="VK13" s="199"/>
      <c r="VL13" s="199"/>
      <c r="VM13" s="199"/>
      <c r="VN13" s="199"/>
      <c r="VO13" s="199"/>
      <c r="VP13" s="199"/>
      <c r="VQ13" s="199"/>
      <c r="VR13" s="199"/>
      <c r="VS13" s="199"/>
      <c r="VT13" s="199"/>
      <c r="VU13" s="199"/>
      <c r="VV13" s="199"/>
      <c r="VW13" s="199"/>
      <c r="VX13" s="199"/>
      <c r="VY13" s="199"/>
      <c r="VZ13" s="199"/>
      <c r="WA13" s="199"/>
      <c r="WB13" s="199"/>
      <c r="WC13" s="199"/>
      <c r="WD13" s="199"/>
      <c r="WE13" s="199"/>
      <c r="WF13" s="199"/>
      <c r="WG13" s="200"/>
      <c r="WH13" s="198" t="s">
        <v>120</v>
      </c>
      <c r="WI13" s="199"/>
      <c r="WJ13" s="199"/>
      <c r="WK13" s="199"/>
      <c r="WL13" s="199"/>
      <c r="WM13" s="199"/>
      <c r="WN13" s="199"/>
      <c r="WO13" s="199"/>
      <c r="WP13" s="199"/>
      <c r="WQ13" s="199"/>
      <c r="WR13" s="199"/>
      <c r="WS13" s="199"/>
      <c r="WT13" s="199"/>
      <c r="WU13" s="199"/>
      <c r="WV13" s="199"/>
      <c r="WW13" s="199"/>
      <c r="WX13" s="199"/>
      <c r="WY13" s="199"/>
      <c r="WZ13" s="199"/>
      <c r="XA13" s="199"/>
      <c r="XB13" s="199"/>
      <c r="XC13" s="199"/>
      <c r="XD13" s="199"/>
      <c r="XE13" s="199"/>
      <c r="XF13" s="199"/>
      <c r="XG13" s="199"/>
      <c r="XH13" s="199"/>
      <c r="XI13" s="199"/>
      <c r="XJ13" s="199"/>
      <c r="XK13" s="199"/>
      <c r="XL13" s="199"/>
      <c r="XM13" s="199"/>
      <c r="XN13" s="199"/>
      <c r="XO13" s="199"/>
      <c r="XP13" s="199"/>
      <c r="XQ13" s="199"/>
      <c r="XR13" s="199"/>
      <c r="XS13" s="199"/>
      <c r="XT13" s="199"/>
      <c r="XU13" s="199"/>
      <c r="XV13" s="199"/>
      <c r="XW13" s="199"/>
      <c r="XX13" s="199"/>
      <c r="XY13" s="199"/>
      <c r="XZ13" s="199"/>
      <c r="YA13" s="199"/>
      <c r="YB13" s="199"/>
      <c r="YC13" s="199"/>
      <c r="YD13" s="199"/>
      <c r="YE13" s="199"/>
      <c r="YF13" s="199"/>
      <c r="YG13" s="199"/>
      <c r="YH13" s="199"/>
      <c r="YI13" s="199"/>
      <c r="YJ13" s="199"/>
      <c r="YK13" s="199"/>
      <c r="YL13" s="199"/>
      <c r="YM13" s="199"/>
      <c r="YN13" s="199"/>
      <c r="YO13" s="200"/>
      <c r="YP13" s="198" t="s">
        <v>118</v>
      </c>
      <c r="YQ13" s="199"/>
      <c r="YR13" s="199"/>
      <c r="YS13" s="199"/>
      <c r="YT13" s="199"/>
      <c r="YU13" s="199"/>
      <c r="YV13" s="199"/>
      <c r="YW13" s="199"/>
      <c r="YX13" s="199"/>
      <c r="YY13" s="199"/>
      <c r="YZ13" s="199"/>
      <c r="ZA13" s="199"/>
      <c r="ZB13" s="199"/>
      <c r="ZC13" s="199"/>
      <c r="ZD13" s="199"/>
      <c r="ZE13" s="199"/>
      <c r="ZF13" s="199"/>
      <c r="ZG13" s="199"/>
      <c r="ZH13" s="199"/>
      <c r="ZI13" s="199"/>
      <c r="ZJ13" s="199"/>
      <c r="ZK13" s="199"/>
      <c r="ZL13" s="199"/>
      <c r="ZM13" s="199"/>
      <c r="ZN13" s="199"/>
      <c r="ZO13" s="199"/>
      <c r="ZP13" s="199"/>
      <c r="ZQ13" s="199"/>
      <c r="ZR13" s="199"/>
      <c r="ZS13" s="199"/>
      <c r="ZT13" s="199"/>
      <c r="ZU13" s="199"/>
      <c r="ZV13" s="199"/>
      <c r="ZW13" s="199"/>
      <c r="ZX13" s="199"/>
      <c r="ZY13" s="199"/>
      <c r="ZZ13" s="199"/>
      <c r="AAA13" s="199"/>
      <c r="AAB13" s="199"/>
      <c r="AAC13" s="199"/>
      <c r="AAD13" s="199"/>
      <c r="AAE13" s="199"/>
      <c r="AAF13" s="199"/>
      <c r="AAG13" s="199"/>
      <c r="AAH13" s="199"/>
      <c r="AAI13" s="199"/>
      <c r="AAJ13" s="199"/>
      <c r="AAK13" s="199"/>
      <c r="AAL13" s="199"/>
      <c r="AAM13" s="199"/>
      <c r="AAN13" s="199"/>
      <c r="AAO13" s="199"/>
      <c r="AAP13" s="199"/>
      <c r="AAQ13" s="199"/>
      <c r="AAR13" s="199"/>
      <c r="AAS13" s="199"/>
      <c r="AAT13" s="199"/>
      <c r="AAU13" s="199"/>
      <c r="AAV13" s="199"/>
      <c r="AAW13" s="200"/>
      <c r="AAX13" s="198" t="s">
        <v>117</v>
      </c>
      <c r="AAY13" s="199"/>
      <c r="AAZ13" s="199"/>
      <c r="ABA13" s="199"/>
      <c r="ABB13" s="199"/>
      <c r="ABC13" s="199"/>
      <c r="ABD13" s="199"/>
      <c r="ABE13" s="199"/>
      <c r="ABF13" s="199"/>
      <c r="ABG13" s="199"/>
      <c r="ABH13" s="199"/>
      <c r="ABI13" s="199"/>
      <c r="ABJ13" s="199"/>
      <c r="ABK13" s="199"/>
      <c r="ABL13" s="199"/>
      <c r="ABM13" s="199"/>
      <c r="ABN13" s="199"/>
      <c r="ABO13" s="199"/>
      <c r="ABP13" s="199"/>
      <c r="ABQ13" s="199"/>
      <c r="ABR13" s="199"/>
      <c r="ABS13" s="199"/>
      <c r="ABT13" s="199"/>
      <c r="ABU13" s="199"/>
      <c r="ABV13" s="199"/>
      <c r="ABW13" s="199"/>
      <c r="ABX13" s="199"/>
      <c r="ABY13" s="199"/>
      <c r="ABZ13" s="199"/>
      <c r="ACA13" s="199"/>
      <c r="ACB13" s="199"/>
      <c r="ACC13" s="199"/>
      <c r="ACD13" s="199"/>
      <c r="ACE13" s="199"/>
      <c r="ACF13" s="199"/>
      <c r="ACG13" s="199"/>
      <c r="ACH13" s="199"/>
      <c r="ACI13" s="199"/>
      <c r="ACJ13" s="199"/>
      <c r="ACK13" s="199"/>
      <c r="ACL13" s="199"/>
      <c r="ACM13" s="199"/>
      <c r="ACN13" s="199"/>
      <c r="ACO13" s="199"/>
      <c r="ACP13" s="199"/>
      <c r="ACQ13" s="199"/>
      <c r="ACR13" s="199"/>
      <c r="ACS13" s="199"/>
      <c r="ACT13" s="199"/>
      <c r="ACU13" s="199"/>
      <c r="ACV13" s="199"/>
      <c r="ACW13" s="199"/>
      <c r="ACX13" s="199"/>
      <c r="ACY13" s="199"/>
      <c r="ACZ13" s="199"/>
      <c r="ADA13" s="199"/>
      <c r="ADB13" s="199"/>
      <c r="ADC13" s="199"/>
      <c r="ADD13" s="199"/>
      <c r="ADE13" s="200"/>
      <c r="ADF13" s="198" t="s">
        <v>115</v>
      </c>
      <c r="ADG13" s="199"/>
      <c r="ADH13" s="199"/>
      <c r="ADI13" s="199"/>
      <c r="ADJ13" s="199"/>
      <c r="ADK13" s="199"/>
      <c r="ADL13" s="199"/>
      <c r="ADM13" s="199"/>
      <c r="ADN13" s="199"/>
      <c r="ADO13" s="199"/>
      <c r="ADP13" s="199"/>
      <c r="ADQ13" s="199"/>
      <c r="ADR13" s="199"/>
      <c r="ADS13" s="199"/>
      <c r="ADT13" s="199"/>
      <c r="ADU13" s="199"/>
      <c r="ADV13" s="199"/>
      <c r="ADW13" s="199"/>
      <c r="ADX13" s="199"/>
      <c r="ADY13" s="199"/>
      <c r="ADZ13" s="199"/>
      <c r="AEA13" s="199"/>
      <c r="AEB13" s="199"/>
      <c r="AEC13" s="199"/>
      <c r="AED13" s="199"/>
      <c r="AEE13" s="199"/>
      <c r="AEF13" s="199"/>
      <c r="AEG13" s="199"/>
      <c r="AEH13" s="199"/>
      <c r="AEI13" s="199"/>
      <c r="AEJ13" s="199"/>
      <c r="AEK13" s="199"/>
      <c r="AEL13" s="199"/>
      <c r="AEM13" s="199"/>
      <c r="AEN13" s="199"/>
      <c r="AEO13" s="199"/>
      <c r="AEP13" s="199"/>
      <c r="AEQ13" s="199"/>
      <c r="AER13" s="199"/>
      <c r="AES13" s="199"/>
      <c r="AET13" s="199"/>
      <c r="AEU13" s="199"/>
      <c r="AEV13" s="199"/>
      <c r="AEW13" s="199"/>
      <c r="AEX13" s="199"/>
      <c r="AEY13" s="199"/>
      <c r="AEZ13" s="199"/>
      <c r="AFA13" s="199"/>
      <c r="AFB13" s="199"/>
      <c r="AFC13" s="199"/>
      <c r="AFD13" s="199"/>
      <c r="AFE13" s="199"/>
      <c r="AFF13" s="199"/>
      <c r="AFG13" s="199"/>
      <c r="AFH13" s="199"/>
      <c r="AFI13" s="199"/>
      <c r="AFJ13" s="199"/>
      <c r="AFK13" s="199"/>
      <c r="AFL13" s="199"/>
      <c r="AFM13" s="200"/>
      <c r="AFN13" s="198" t="s">
        <v>113</v>
      </c>
      <c r="AFO13" s="199"/>
      <c r="AFP13" s="199"/>
      <c r="AFQ13" s="199"/>
      <c r="AFR13" s="199"/>
      <c r="AFS13" s="199"/>
      <c r="AFT13" s="199"/>
      <c r="AFU13" s="199"/>
      <c r="AFV13" s="199"/>
      <c r="AFW13" s="199"/>
      <c r="AFX13" s="199"/>
      <c r="AFY13" s="199"/>
      <c r="AFZ13" s="199"/>
      <c r="AGA13" s="199"/>
      <c r="AGB13" s="199"/>
      <c r="AGC13" s="199"/>
      <c r="AGD13" s="199"/>
      <c r="AGE13" s="199"/>
      <c r="AGF13" s="199"/>
      <c r="AGG13" s="199"/>
      <c r="AGH13" s="199"/>
      <c r="AGI13" s="199"/>
      <c r="AGJ13" s="199"/>
      <c r="AGK13" s="199"/>
      <c r="AGL13" s="199"/>
      <c r="AGM13" s="199"/>
      <c r="AGN13" s="199"/>
      <c r="AGO13" s="199"/>
      <c r="AGP13" s="199"/>
      <c r="AGQ13" s="199"/>
      <c r="AGR13" s="199"/>
      <c r="AGS13" s="199"/>
      <c r="AGT13" s="199"/>
      <c r="AGU13" s="199"/>
      <c r="AGV13" s="199"/>
      <c r="AGW13" s="199"/>
      <c r="AGX13" s="199"/>
      <c r="AGY13" s="199"/>
      <c r="AGZ13" s="199"/>
      <c r="AHA13" s="199"/>
      <c r="AHB13" s="199"/>
      <c r="AHC13" s="199"/>
      <c r="AHD13" s="199"/>
      <c r="AHE13" s="199"/>
      <c r="AHF13" s="199"/>
      <c r="AHG13" s="199"/>
      <c r="AHH13" s="199"/>
      <c r="AHI13" s="199"/>
      <c r="AHJ13" s="199"/>
      <c r="AHK13" s="199"/>
      <c r="AHL13" s="199"/>
      <c r="AHM13" s="199"/>
      <c r="AHN13" s="199"/>
      <c r="AHO13" s="199"/>
      <c r="AHP13" s="199"/>
      <c r="AHQ13" s="199"/>
      <c r="AHR13" s="199"/>
      <c r="AHS13" s="199"/>
      <c r="AHT13" s="199"/>
      <c r="AHU13" s="200"/>
      <c r="AHV13" s="198" t="s">
        <v>112</v>
      </c>
      <c r="AHW13" s="199"/>
      <c r="AHX13" s="199"/>
      <c r="AHY13" s="199"/>
      <c r="AHZ13" s="199"/>
      <c r="AIA13" s="199"/>
      <c r="AIB13" s="199"/>
      <c r="AIC13" s="199"/>
      <c r="AID13" s="199"/>
      <c r="AIE13" s="199"/>
      <c r="AIF13" s="199"/>
      <c r="AIG13" s="199"/>
      <c r="AIH13" s="199"/>
      <c r="AII13" s="199"/>
      <c r="AIJ13" s="199"/>
      <c r="AIK13" s="199"/>
      <c r="AIL13" s="199"/>
      <c r="AIM13" s="199"/>
      <c r="AIN13" s="199"/>
      <c r="AIO13" s="199"/>
      <c r="AIP13" s="199"/>
      <c r="AIQ13" s="199"/>
      <c r="AIR13" s="199"/>
      <c r="AIS13" s="199"/>
      <c r="AIT13" s="199"/>
      <c r="AIU13" s="199"/>
      <c r="AIV13" s="199"/>
      <c r="AIW13" s="199"/>
      <c r="AIX13" s="199"/>
      <c r="AIY13" s="199"/>
      <c r="AIZ13" s="199"/>
      <c r="AJA13" s="199"/>
      <c r="AJB13" s="199"/>
      <c r="AJC13" s="199"/>
      <c r="AJD13" s="199"/>
      <c r="AJE13" s="199"/>
      <c r="AJF13" s="199"/>
      <c r="AJG13" s="199"/>
      <c r="AJH13" s="199"/>
      <c r="AJI13" s="199"/>
      <c r="AJJ13" s="199"/>
      <c r="AJK13" s="199"/>
      <c r="AJL13" s="199"/>
      <c r="AJM13" s="199"/>
      <c r="AJN13" s="199"/>
      <c r="AJO13" s="199"/>
      <c r="AJP13" s="199"/>
      <c r="AJQ13" s="199"/>
      <c r="AJR13" s="199"/>
      <c r="AJS13" s="199"/>
      <c r="AJT13" s="199"/>
      <c r="AJU13" s="199"/>
      <c r="AJV13" s="199"/>
      <c r="AJW13" s="199"/>
      <c r="AJX13" s="199"/>
      <c r="AJY13" s="199"/>
      <c r="AJZ13" s="199"/>
      <c r="AKA13" s="199"/>
      <c r="AKB13" s="199"/>
      <c r="AKC13" s="200"/>
      <c r="AKD13" s="198" t="s">
        <v>110</v>
      </c>
      <c r="AKE13" s="199"/>
      <c r="AKF13" s="199"/>
      <c r="AKG13" s="199"/>
      <c r="AKH13" s="199"/>
      <c r="AKI13" s="199"/>
      <c r="AKJ13" s="199"/>
      <c r="AKK13" s="199"/>
      <c r="AKL13" s="199"/>
      <c r="AKM13" s="199"/>
      <c r="AKN13" s="199"/>
      <c r="AKO13" s="199"/>
      <c r="AKP13" s="199"/>
      <c r="AKQ13" s="199"/>
      <c r="AKR13" s="199"/>
      <c r="AKS13" s="199"/>
      <c r="AKT13" s="199"/>
      <c r="AKU13" s="199"/>
      <c r="AKV13" s="199"/>
      <c r="AKW13" s="199"/>
      <c r="AKX13" s="199"/>
      <c r="AKY13" s="199"/>
      <c r="AKZ13" s="199"/>
      <c r="ALA13" s="199"/>
      <c r="ALB13" s="199"/>
      <c r="ALC13" s="199"/>
      <c r="ALD13" s="199"/>
      <c r="ALE13" s="199"/>
      <c r="ALF13" s="199"/>
      <c r="ALG13" s="199"/>
      <c r="ALH13" s="199"/>
      <c r="ALI13" s="199"/>
      <c r="ALJ13" s="199"/>
      <c r="ALK13" s="199"/>
      <c r="ALL13" s="199"/>
      <c r="ALM13" s="199"/>
      <c r="ALN13" s="199"/>
      <c r="ALO13" s="199"/>
      <c r="ALP13" s="199"/>
      <c r="ALQ13" s="199"/>
      <c r="ALR13" s="199"/>
      <c r="ALS13" s="199"/>
      <c r="ALT13" s="199"/>
      <c r="ALU13" s="199"/>
      <c r="ALV13" s="199"/>
      <c r="ALW13" s="199"/>
      <c r="ALX13" s="199"/>
      <c r="ALY13" s="199"/>
      <c r="ALZ13" s="199"/>
      <c r="AMA13" s="199"/>
      <c r="AMB13" s="199"/>
      <c r="AMC13" s="199"/>
      <c r="AMD13" s="199"/>
      <c r="AME13" s="199"/>
      <c r="AMF13" s="199"/>
      <c r="AMG13" s="199"/>
      <c r="AMH13" s="199"/>
      <c r="AMI13" s="199"/>
      <c r="AMJ13" s="199"/>
      <c r="AMK13" s="200"/>
      <c r="AML13" s="198" t="s">
        <v>109</v>
      </c>
      <c r="AMM13" s="199"/>
      <c r="AMN13" s="199"/>
      <c r="AMO13" s="199"/>
      <c r="AMP13" s="199"/>
      <c r="AMQ13" s="199"/>
      <c r="AMR13" s="199"/>
      <c r="AMS13" s="199"/>
      <c r="AMT13" s="199"/>
      <c r="AMU13" s="199"/>
      <c r="AMV13" s="199"/>
      <c r="AMW13" s="199"/>
      <c r="AMX13" s="199"/>
      <c r="AMY13" s="199"/>
      <c r="AMZ13" s="199"/>
      <c r="ANA13" s="199"/>
      <c r="ANB13" s="199"/>
      <c r="ANC13" s="199"/>
      <c r="AND13" s="199"/>
      <c r="ANE13" s="199"/>
      <c r="ANF13" s="199"/>
      <c r="ANG13" s="199"/>
      <c r="ANH13" s="199"/>
      <c r="ANI13" s="199"/>
      <c r="ANJ13" s="199"/>
      <c r="ANK13" s="199"/>
      <c r="ANL13" s="199"/>
      <c r="ANM13" s="199"/>
      <c r="ANN13" s="199"/>
      <c r="ANO13" s="199"/>
      <c r="ANP13" s="199"/>
      <c r="ANQ13" s="199"/>
      <c r="ANR13" s="199"/>
      <c r="ANS13" s="199"/>
      <c r="ANT13" s="199"/>
      <c r="ANU13" s="199"/>
      <c r="ANV13" s="199"/>
      <c r="ANW13" s="199"/>
      <c r="ANX13" s="199"/>
      <c r="ANY13" s="199"/>
      <c r="ANZ13" s="199"/>
      <c r="AOA13" s="199"/>
      <c r="AOB13" s="199"/>
      <c r="AOC13" s="199"/>
      <c r="AOD13" s="199"/>
      <c r="AOE13" s="199"/>
      <c r="AOF13" s="199"/>
      <c r="AOG13" s="199"/>
      <c r="AOH13" s="199"/>
      <c r="AOI13" s="199"/>
      <c r="AOJ13" s="199"/>
      <c r="AOK13" s="199"/>
      <c r="AOL13" s="199"/>
      <c r="AOM13" s="199"/>
      <c r="AON13" s="199"/>
      <c r="AOO13" s="199"/>
      <c r="AOP13" s="199"/>
      <c r="AOQ13" s="199"/>
      <c r="AOR13" s="199"/>
      <c r="AOS13" s="200"/>
      <c r="AOT13" s="198" t="s">
        <v>107</v>
      </c>
      <c r="AOU13" s="199"/>
      <c r="AOV13" s="199"/>
      <c r="AOW13" s="199"/>
      <c r="AOX13" s="199"/>
      <c r="AOY13" s="199"/>
      <c r="AOZ13" s="199"/>
      <c r="APA13" s="199"/>
      <c r="APB13" s="199"/>
      <c r="APC13" s="199"/>
      <c r="APD13" s="199"/>
      <c r="APE13" s="199"/>
      <c r="APF13" s="199"/>
      <c r="APG13" s="199"/>
      <c r="APH13" s="199"/>
      <c r="API13" s="199"/>
      <c r="APJ13" s="199"/>
      <c r="APK13" s="199"/>
      <c r="APL13" s="199"/>
      <c r="APM13" s="199"/>
      <c r="APN13" s="199"/>
      <c r="APO13" s="199"/>
      <c r="APP13" s="199"/>
      <c r="APQ13" s="199"/>
      <c r="APR13" s="199"/>
      <c r="APS13" s="199"/>
      <c r="APT13" s="199"/>
      <c r="APU13" s="199"/>
      <c r="APV13" s="199"/>
      <c r="APW13" s="199"/>
      <c r="APX13" s="199"/>
      <c r="APY13" s="199"/>
      <c r="APZ13" s="199"/>
      <c r="AQA13" s="199"/>
      <c r="AQB13" s="199"/>
      <c r="AQC13" s="199"/>
      <c r="AQD13" s="199"/>
      <c r="AQE13" s="199"/>
      <c r="AQF13" s="199"/>
      <c r="AQG13" s="199"/>
      <c r="AQH13" s="199"/>
      <c r="AQI13" s="199"/>
      <c r="AQJ13" s="199"/>
      <c r="AQK13" s="199"/>
      <c r="AQL13" s="199"/>
      <c r="AQM13" s="199"/>
      <c r="AQN13" s="199"/>
      <c r="AQO13" s="199"/>
      <c r="AQP13" s="199"/>
      <c r="AQQ13" s="199"/>
      <c r="AQR13" s="199"/>
      <c r="AQS13" s="199"/>
      <c r="AQT13" s="199"/>
      <c r="AQU13" s="199"/>
      <c r="AQV13" s="199"/>
      <c r="AQW13" s="199"/>
      <c r="AQX13" s="199"/>
      <c r="AQY13" s="199"/>
      <c r="AQZ13" s="199"/>
      <c r="ARA13" s="200"/>
      <c r="ARB13" s="198" t="s">
        <v>106</v>
      </c>
      <c r="ARC13" s="199"/>
      <c r="ARD13" s="199"/>
      <c r="ARE13" s="199"/>
      <c r="ARF13" s="199"/>
      <c r="ARG13" s="199"/>
      <c r="ARH13" s="199"/>
      <c r="ARI13" s="199"/>
      <c r="ARJ13" s="199"/>
      <c r="ARK13" s="199"/>
      <c r="ARL13" s="199"/>
      <c r="ARM13" s="199"/>
      <c r="ARN13" s="199"/>
      <c r="ARO13" s="199"/>
      <c r="ARP13" s="199"/>
      <c r="ARQ13" s="199"/>
      <c r="ARR13" s="199"/>
      <c r="ARS13" s="199"/>
      <c r="ART13" s="199"/>
      <c r="ARU13" s="199"/>
      <c r="ARV13" s="199"/>
      <c r="ARW13" s="199"/>
      <c r="ARX13" s="199"/>
      <c r="ARY13" s="199"/>
      <c r="ARZ13" s="199"/>
      <c r="ASA13" s="199"/>
      <c r="ASB13" s="199"/>
      <c r="ASC13" s="199"/>
      <c r="ASD13" s="199"/>
      <c r="ASE13" s="199"/>
      <c r="ASF13" s="199"/>
      <c r="ASG13" s="199"/>
      <c r="ASH13" s="199"/>
      <c r="ASI13" s="199"/>
      <c r="ASJ13" s="199"/>
      <c r="ASK13" s="199"/>
      <c r="ASL13" s="199"/>
      <c r="ASM13" s="199"/>
      <c r="ASN13" s="199"/>
      <c r="ASO13" s="199"/>
      <c r="ASP13" s="199"/>
      <c r="ASQ13" s="199"/>
      <c r="ASR13" s="199"/>
      <c r="ASS13" s="199"/>
      <c r="AST13" s="199"/>
      <c r="ASU13" s="199"/>
      <c r="ASV13" s="199"/>
      <c r="ASW13" s="199"/>
      <c r="ASX13" s="199"/>
      <c r="ASY13" s="199"/>
      <c r="ASZ13" s="199"/>
      <c r="ATA13" s="199"/>
      <c r="ATB13" s="199"/>
      <c r="ATC13" s="199"/>
      <c r="ATD13" s="199"/>
      <c r="ATE13" s="199"/>
      <c r="ATF13" s="199"/>
      <c r="ATG13" s="199"/>
      <c r="ATH13" s="199"/>
      <c r="ATI13" s="200"/>
      <c r="ATJ13" s="198" t="s">
        <v>104</v>
      </c>
      <c r="ATK13" s="199"/>
      <c r="ATL13" s="199"/>
      <c r="ATM13" s="199"/>
      <c r="ATN13" s="199"/>
      <c r="ATO13" s="199"/>
      <c r="ATP13" s="199"/>
      <c r="ATQ13" s="199"/>
      <c r="ATR13" s="199"/>
      <c r="ATS13" s="199"/>
      <c r="ATT13" s="199"/>
      <c r="ATU13" s="199"/>
      <c r="ATV13" s="199"/>
      <c r="ATW13" s="199"/>
      <c r="ATX13" s="199"/>
      <c r="ATY13" s="199"/>
      <c r="ATZ13" s="199"/>
      <c r="AUA13" s="199"/>
      <c r="AUB13" s="199"/>
      <c r="AUC13" s="199"/>
      <c r="AUD13" s="199"/>
      <c r="AUE13" s="199"/>
      <c r="AUF13" s="199"/>
      <c r="AUG13" s="199"/>
      <c r="AUH13" s="199"/>
      <c r="AUI13" s="199"/>
      <c r="AUJ13" s="199"/>
      <c r="AUK13" s="199"/>
      <c r="AUL13" s="199"/>
      <c r="AUM13" s="199"/>
      <c r="AUN13" s="199"/>
      <c r="AUO13" s="199"/>
      <c r="AUP13" s="199"/>
      <c r="AUQ13" s="199"/>
      <c r="AUR13" s="199"/>
      <c r="AUS13" s="199"/>
      <c r="AUT13" s="199"/>
      <c r="AUU13" s="199"/>
      <c r="AUV13" s="199"/>
      <c r="AUW13" s="199"/>
      <c r="AUX13" s="199"/>
      <c r="AUY13" s="199"/>
      <c r="AUZ13" s="199"/>
      <c r="AVA13" s="199"/>
      <c r="AVB13" s="199"/>
      <c r="AVC13" s="199"/>
      <c r="AVD13" s="199"/>
      <c r="AVE13" s="199"/>
      <c r="AVF13" s="199"/>
      <c r="AVG13" s="199"/>
      <c r="AVH13" s="199"/>
      <c r="AVI13" s="199"/>
      <c r="AVJ13" s="199"/>
      <c r="AVK13" s="199"/>
      <c r="AVL13" s="199"/>
      <c r="AVM13" s="199"/>
      <c r="AVN13" s="199"/>
      <c r="AVO13" s="199"/>
      <c r="AVP13" s="199"/>
      <c r="AVQ13" s="200"/>
      <c r="AVR13" s="198" t="s">
        <v>102</v>
      </c>
      <c r="AVS13" s="199"/>
      <c r="AVT13" s="199"/>
      <c r="AVU13" s="199"/>
      <c r="AVV13" s="199"/>
      <c r="AVW13" s="199"/>
      <c r="AVX13" s="199"/>
      <c r="AVY13" s="199"/>
      <c r="AVZ13" s="199"/>
      <c r="AWA13" s="199"/>
      <c r="AWB13" s="199"/>
      <c r="AWC13" s="199"/>
      <c r="AWD13" s="199"/>
      <c r="AWE13" s="199"/>
      <c r="AWF13" s="199"/>
      <c r="AWG13" s="199"/>
      <c r="AWH13" s="199"/>
      <c r="AWI13" s="199"/>
      <c r="AWJ13" s="199"/>
      <c r="AWK13" s="199"/>
      <c r="AWL13" s="199"/>
      <c r="AWM13" s="199"/>
      <c r="AWN13" s="199"/>
      <c r="AWO13" s="199"/>
      <c r="AWP13" s="199"/>
      <c r="AWQ13" s="199"/>
      <c r="AWR13" s="199"/>
      <c r="AWS13" s="199"/>
      <c r="AWT13" s="199"/>
      <c r="AWU13" s="199"/>
      <c r="AWV13" s="199"/>
      <c r="AWW13" s="199"/>
      <c r="AWX13" s="199"/>
      <c r="AWY13" s="199"/>
      <c r="AWZ13" s="199"/>
      <c r="AXA13" s="199"/>
      <c r="AXB13" s="199"/>
      <c r="AXC13" s="199"/>
      <c r="AXD13" s="199"/>
      <c r="AXE13" s="199"/>
      <c r="AXF13" s="199"/>
      <c r="AXG13" s="199"/>
      <c r="AXH13" s="199"/>
      <c r="AXI13" s="199"/>
      <c r="AXJ13" s="199"/>
      <c r="AXK13" s="199"/>
      <c r="AXL13" s="199"/>
      <c r="AXM13" s="199"/>
      <c r="AXN13" s="199"/>
      <c r="AXO13" s="199"/>
      <c r="AXP13" s="199"/>
      <c r="AXQ13" s="199"/>
      <c r="AXR13" s="199"/>
      <c r="AXS13" s="199"/>
      <c r="AXT13" s="199"/>
      <c r="AXU13" s="199"/>
      <c r="AXV13" s="199"/>
      <c r="AXW13" s="199"/>
      <c r="AXX13" s="199"/>
      <c r="AXY13" s="200"/>
      <c r="AXZ13" s="198" t="s">
        <v>101</v>
      </c>
      <c r="AYA13" s="199"/>
      <c r="AYB13" s="199"/>
      <c r="AYC13" s="199"/>
      <c r="AYD13" s="199"/>
      <c r="AYE13" s="199"/>
      <c r="AYF13" s="199"/>
      <c r="AYG13" s="199"/>
      <c r="AYH13" s="199"/>
      <c r="AYI13" s="199"/>
      <c r="AYJ13" s="199"/>
      <c r="AYK13" s="199"/>
      <c r="AYL13" s="199"/>
      <c r="AYM13" s="199"/>
      <c r="AYN13" s="199"/>
      <c r="AYO13" s="199"/>
      <c r="AYP13" s="199"/>
      <c r="AYQ13" s="199"/>
      <c r="AYR13" s="199"/>
      <c r="AYS13" s="199"/>
      <c r="AYT13" s="199"/>
      <c r="AYU13" s="199"/>
      <c r="AYV13" s="199"/>
      <c r="AYW13" s="199"/>
      <c r="AYX13" s="199"/>
      <c r="AYY13" s="199"/>
      <c r="AYZ13" s="199"/>
      <c r="AZA13" s="199"/>
      <c r="AZB13" s="199"/>
      <c r="AZC13" s="199"/>
      <c r="AZD13" s="199"/>
      <c r="AZE13" s="199"/>
      <c r="AZF13" s="199"/>
      <c r="AZG13" s="199"/>
      <c r="AZH13" s="199"/>
      <c r="AZI13" s="199"/>
      <c r="AZJ13" s="199"/>
      <c r="AZK13" s="199"/>
      <c r="AZL13" s="199"/>
      <c r="AZM13" s="199"/>
      <c r="AZN13" s="199"/>
      <c r="AZO13" s="199"/>
      <c r="AZP13" s="199"/>
      <c r="AZQ13" s="199"/>
      <c r="AZR13" s="199"/>
      <c r="AZS13" s="199"/>
      <c r="AZT13" s="199"/>
      <c r="AZU13" s="199"/>
      <c r="AZV13" s="199"/>
      <c r="AZW13" s="199"/>
      <c r="AZX13" s="199"/>
      <c r="AZY13" s="199"/>
      <c r="AZZ13" s="199"/>
      <c r="BAA13" s="199"/>
      <c r="BAB13" s="199"/>
      <c r="BAC13" s="199"/>
      <c r="BAD13" s="199"/>
      <c r="BAE13" s="199"/>
      <c r="BAF13" s="199"/>
      <c r="BAG13" s="200"/>
      <c r="BAH13" s="198" t="s">
        <v>137</v>
      </c>
      <c r="BAI13" s="199"/>
      <c r="BAJ13" s="199"/>
      <c r="BAK13" s="199"/>
      <c r="BAL13" s="199"/>
      <c r="BAM13" s="199"/>
      <c r="BAN13" s="199"/>
      <c r="BAO13" s="199"/>
      <c r="BAP13" s="199"/>
      <c r="BAQ13" s="199"/>
      <c r="BAR13" s="199"/>
      <c r="BAS13" s="199"/>
      <c r="BAT13" s="199"/>
      <c r="BAU13" s="199"/>
      <c r="BAV13" s="199"/>
      <c r="BAW13" s="199"/>
      <c r="BAX13" s="199"/>
      <c r="BAY13" s="199"/>
      <c r="BAZ13" s="199"/>
      <c r="BBA13" s="199"/>
      <c r="BBB13" s="199"/>
      <c r="BBC13" s="199"/>
      <c r="BBD13" s="199"/>
      <c r="BBE13" s="199"/>
      <c r="BBF13" s="199"/>
      <c r="BBG13" s="199"/>
      <c r="BBH13" s="199"/>
      <c r="BBI13" s="199"/>
      <c r="BBJ13" s="199"/>
      <c r="BBK13" s="199"/>
      <c r="BBL13" s="199"/>
      <c r="BBM13" s="199"/>
      <c r="BBN13" s="199"/>
      <c r="BBO13" s="199"/>
      <c r="BBP13" s="199"/>
      <c r="BBQ13" s="199"/>
      <c r="BBR13" s="199"/>
      <c r="BBS13" s="199"/>
      <c r="BBT13" s="199"/>
      <c r="BBU13" s="199"/>
      <c r="BBV13" s="199"/>
      <c r="BBW13" s="199"/>
      <c r="BBX13" s="199"/>
      <c r="BBY13" s="199"/>
      <c r="BBZ13" s="199"/>
      <c r="BCA13" s="199"/>
      <c r="BCB13" s="199"/>
      <c r="BCC13" s="199"/>
      <c r="BCD13" s="199"/>
      <c r="BCE13" s="199"/>
      <c r="BCF13" s="199"/>
      <c r="BCG13" s="199"/>
      <c r="BCH13" s="199"/>
      <c r="BCI13" s="199"/>
      <c r="BCJ13" s="199"/>
      <c r="BCK13" s="199"/>
      <c r="BCL13" s="199"/>
      <c r="BCM13" s="199"/>
      <c r="BCN13" s="199"/>
      <c r="BCO13" s="200"/>
      <c r="BCP13" s="198" t="s">
        <v>136</v>
      </c>
      <c r="BCQ13" s="199"/>
      <c r="BCR13" s="199"/>
      <c r="BCS13" s="199"/>
      <c r="BCT13" s="199"/>
      <c r="BCU13" s="199"/>
      <c r="BCV13" s="199"/>
      <c r="BCW13" s="199"/>
      <c r="BCX13" s="199"/>
      <c r="BCY13" s="199"/>
      <c r="BCZ13" s="199"/>
      <c r="BDA13" s="199"/>
      <c r="BDB13" s="199"/>
      <c r="BDC13" s="199"/>
      <c r="BDD13" s="199"/>
      <c r="BDE13" s="199"/>
      <c r="BDF13" s="199"/>
      <c r="BDG13" s="199"/>
      <c r="BDH13" s="199"/>
      <c r="BDI13" s="199"/>
      <c r="BDJ13" s="199"/>
      <c r="BDK13" s="199"/>
      <c r="BDL13" s="199"/>
      <c r="BDM13" s="199"/>
      <c r="BDN13" s="199"/>
      <c r="BDO13" s="199"/>
      <c r="BDP13" s="199"/>
      <c r="BDQ13" s="199"/>
      <c r="BDR13" s="199"/>
      <c r="BDS13" s="199"/>
      <c r="BDT13" s="199"/>
      <c r="BDU13" s="199"/>
      <c r="BDV13" s="199"/>
      <c r="BDW13" s="199"/>
      <c r="BDX13" s="199"/>
      <c r="BDY13" s="199"/>
      <c r="BDZ13" s="199"/>
      <c r="BEA13" s="199"/>
      <c r="BEB13" s="199"/>
      <c r="BEC13" s="199"/>
      <c r="BED13" s="199"/>
      <c r="BEE13" s="199"/>
      <c r="BEF13" s="199"/>
      <c r="BEG13" s="199"/>
      <c r="BEH13" s="199"/>
      <c r="BEI13" s="199"/>
      <c r="BEJ13" s="199"/>
      <c r="BEK13" s="199"/>
      <c r="BEL13" s="199"/>
      <c r="BEM13" s="199"/>
      <c r="BEN13" s="199"/>
      <c r="BEO13" s="199"/>
      <c r="BEP13" s="199"/>
      <c r="BEQ13" s="199"/>
      <c r="BER13" s="199"/>
      <c r="BES13" s="199"/>
      <c r="BET13" s="199"/>
      <c r="BEU13" s="199"/>
      <c r="BEV13" s="199"/>
      <c r="BEW13" s="200"/>
      <c r="BEX13" s="198" t="s">
        <v>135</v>
      </c>
      <c r="BEY13" s="199"/>
      <c r="BEZ13" s="199"/>
      <c r="BFA13" s="199"/>
      <c r="BFB13" s="199"/>
      <c r="BFC13" s="199"/>
      <c r="BFD13" s="199"/>
      <c r="BFE13" s="199"/>
      <c r="BFF13" s="199"/>
      <c r="BFG13" s="199"/>
      <c r="BFH13" s="199"/>
      <c r="BFI13" s="199"/>
      <c r="BFJ13" s="199"/>
      <c r="BFK13" s="199"/>
      <c r="BFL13" s="199"/>
      <c r="BFM13" s="199"/>
      <c r="BFN13" s="199"/>
      <c r="BFO13" s="199"/>
      <c r="BFP13" s="199"/>
      <c r="BFQ13" s="199"/>
      <c r="BFR13" s="199"/>
      <c r="BFS13" s="199"/>
      <c r="BFT13" s="199"/>
      <c r="BFU13" s="199"/>
      <c r="BFV13" s="199"/>
      <c r="BFW13" s="199"/>
      <c r="BFX13" s="199"/>
      <c r="BFY13" s="199"/>
      <c r="BFZ13" s="199"/>
      <c r="BGA13" s="199"/>
      <c r="BGB13" s="199"/>
      <c r="BGC13" s="199"/>
      <c r="BGD13" s="199"/>
      <c r="BGE13" s="199"/>
      <c r="BGF13" s="199"/>
      <c r="BGG13" s="199"/>
      <c r="BGH13" s="199"/>
      <c r="BGI13" s="199"/>
      <c r="BGJ13" s="199"/>
      <c r="BGK13" s="199"/>
      <c r="BGL13" s="199"/>
      <c r="BGM13" s="199"/>
      <c r="BGN13" s="199"/>
      <c r="BGO13" s="199"/>
      <c r="BGP13" s="199"/>
      <c r="BGQ13" s="199"/>
      <c r="BGR13" s="199"/>
      <c r="BGS13" s="199"/>
      <c r="BGT13" s="199"/>
      <c r="BGU13" s="199"/>
      <c r="BGV13" s="199"/>
      <c r="BGW13" s="199"/>
      <c r="BGX13" s="199"/>
      <c r="BGY13" s="199"/>
      <c r="BGZ13" s="199"/>
      <c r="BHA13" s="199"/>
      <c r="BHB13" s="199"/>
      <c r="BHC13" s="199"/>
      <c r="BHD13" s="199"/>
      <c r="BHE13" s="200"/>
      <c r="BHF13" s="198" t="s">
        <v>134</v>
      </c>
      <c r="BHG13" s="199"/>
      <c r="BHH13" s="199"/>
      <c r="BHI13" s="199"/>
      <c r="BHJ13" s="199"/>
      <c r="BHK13" s="199"/>
      <c r="BHL13" s="199"/>
      <c r="BHM13" s="199"/>
      <c r="BHN13" s="199"/>
      <c r="BHO13" s="199"/>
      <c r="BHP13" s="199"/>
      <c r="BHQ13" s="199"/>
      <c r="BHR13" s="199"/>
      <c r="BHS13" s="199"/>
      <c r="BHT13" s="199"/>
      <c r="BHU13" s="199"/>
      <c r="BHV13" s="199"/>
      <c r="BHW13" s="199"/>
      <c r="BHX13" s="199"/>
      <c r="BHY13" s="199"/>
      <c r="BHZ13" s="199"/>
      <c r="BIA13" s="199"/>
      <c r="BIB13" s="199"/>
      <c r="BIC13" s="199"/>
      <c r="BID13" s="199"/>
      <c r="BIE13" s="199"/>
      <c r="BIF13" s="199"/>
      <c r="BIG13" s="199"/>
      <c r="BIH13" s="199"/>
      <c r="BII13" s="199"/>
      <c r="BIJ13" s="199"/>
      <c r="BIK13" s="199"/>
      <c r="BIL13" s="199"/>
      <c r="BIM13" s="199"/>
      <c r="BIN13" s="199"/>
      <c r="BIO13" s="199"/>
      <c r="BIP13" s="199"/>
      <c r="BIQ13" s="199"/>
      <c r="BIR13" s="199"/>
      <c r="BIS13" s="199"/>
      <c r="BIT13" s="199"/>
      <c r="BIU13" s="199"/>
      <c r="BIV13" s="199"/>
      <c r="BIW13" s="199"/>
      <c r="BIX13" s="199"/>
      <c r="BIY13" s="199"/>
      <c r="BIZ13" s="199"/>
      <c r="BJA13" s="199"/>
      <c r="BJB13" s="199"/>
      <c r="BJC13" s="199"/>
      <c r="BJD13" s="199"/>
      <c r="BJE13" s="199"/>
      <c r="BJF13" s="199"/>
      <c r="BJG13" s="199"/>
      <c r="BJH13" s="199"/>
      <c r="BJI13" s="199"/>
      <c r="BJJ13" s="199"/>
      <c r="BJK13" s="199"/>
      <c r="BJL13" s="199"/>
      <c r="BJM13" s="200"/>
      <c r="BJN13" s="90"/>
    </row>
    <row r="14" spans="1:1626" ht="12.75" customHeight="1" thickBot="1" x14ac:dyDescent="0.35">
      <c r="B14" s="96"/>
      <c r="C14" s="211"/>
      <c r="D14" s="145"/>
      <c r="E14" s="213"/>
      <c r="F14" s="103"/>
      <c r="G14" s="104"/>
      <c r="H14" s="104"/>
      <c r="I14" s="104"/>
      <c r="J14" s="201" t="s">
        <v>32</v>
      </c>
      <c r="K14" s="201"/>
      <c r="L14" s="201"/>
      <c r="M14" s="201"/>
      <c r="N14" s="104"/>
      <c r="O14" s="104"/>
      <c r="P14" s="202" t="s">
        <v>22</v>
      </c>
      <c r="Q14" s="202"/>
      <c r="R14" s="202"/>
      <c r="S14" s="202"/>
      <c r="T14" s="129"/>
      <c r="U14" s="129"/>
      <c r="V14" s="201" t="s">
        <v>33</v>
      </c>
      <c r="W14" s="201"/>
      <c r="X14" s="201"/>
      <c r="Y14" s="201"/>
      <c r="Z14" s="104"/>
      <c r="AA14" s="104"/>
      <c r="AB14" s="202" t="s">
        <v>23</v>
      </c>
      <c r="AC14" s="202"/>
      <c r="AD14" s="202"/>
      <c r="AE14" s="202"/>
      <c r="AF14" s="129"/>
      <c r="AG14" s="129"/>
      <c r="AH14" s="201" t="s">
        <v>34</v>
      </c>
      <c r="AI14" s="201"/>
      <c r="AJ14" s="201"/>
      <c r="AK14" s="201"/>
      <c r="AL14" s="104"/>
      <c r="AM14" s="104"/>
      <c r="AN14" s="202" t="s">
        <v>24</v>
      </c>
      <c r="AO14" s="202"/>
      <c r="AP14" s="202"/>
      <c r="AQ14" s="202"/>
      <c r="AR14" s="129"/>
      <c r="AS14" s="129"/>
      <c r="AT14" s="201" t="s">
        <v>35</v>
      </c>
      <c r="AU14" s="201"/>
      <c r="AV14" s="201"/>
      <c r="AW14" s="201"/>
      <c r="AX14" s="104"/>
      <c r="AY14" s="104"/>
      <c r="AZ14" s="202" t="s">
        <v>25</v>
      </c>
      <c r="BA14" s="202"/>
      <c r="BB14" s="202"/>
      <c r="BC14" s="202"/>
      <c r="BD14" s="129"/>
      <c r="BE14" s="129"/>
      <c r="BF14" s="201" t="s">
        <v>36</v>
      </c>
      <c r="BG14" s="201"/>
      <c r="BH14" s="201"/>
      <c r="BI14" s="201"/>
      <c r="BJ14" s="104"/>
      <c r="BK14" s="104"/>
      <c r="BL14" s="104"/>
      <c r="BM14" s="105"/>
      <c r="BN14" s="103"/>
      <c r="BO14" s="104"/>
      <c r="BP14" s="104"/>
      <c r="BQ14" s="104"/>
      <c r="BR14" s="201" t="s">
        <v>32</v>
      </c>
      <c r="BS14" s="201"/>
      <c r="BT14" s="201"/>
      <c r="BU14" s="201"/>
      <c r="BV14" s="104"/>
      <c r="BW14" s="104"/>
      <c r="BX14" s="202" t="s">
        <v>22</v>
      </c>
      <c r="BY14" s="202"/>
      <c r="BZ14" s="202"/>
      <c r="CA14" s="202"/>
      <c r="CB14" s="129"/>
      <c r="CC14" s="129"/>
      <c r="CD14" s="201" t="s">
        <v>33</v>
      </c>
      <c r="CE14" s="201"/>
      <c r="CF14" s="201"/>
      <c r="CG14" s="201"/>
      <c r="CH14" s="104"/>
      <c r="CI14" s="104"/>
      <c r="CJ14" s="202" t="s">
        <v>23</v>
      </c>
      <c r="CK14" s="202"/>
      <c r="CL14" s="202"/>
      <c r="CM14" s="202"/>
      <c r="CN14" s="129"/>
      <c r="CO14" s="129"/>
      <c r="CP14" s="201" t="s">
        <v>34</v>
      </c>
      <c r="CQ14" s="201"/>
      <c r="CR14" s="201"/>
      <c r="CS14" s="201"/>
      <c r="CT14" s="104"/>
      <c r="CU14" s="104"/>
      <c r="CV14" s="202" t="s">
        <v>24</v>
      </c>
      <c r="CW14" s="202"/>
      <c r="CX14" s="202"/>
      <c r="CY14" s="202"/>
      <c r="CZ14" s="129"/>
      <c r="DA14" s="129"/>
      <c r="DB14" s="201" t="s">
        <v>35</v>
      </c>
      <c r="DC14" s="201"/>
      <c r="DD14" s="201"/>
      <c r="DE14" s="201"/>
      <c r="DF14" s="104"/>
      <c r="DG14" s="104"/>
      <c r="DH14" s="202" t="s">
        <v>25</v>
      </c>
      <c r="DI14" s="202"/>
      <c r="DJ14" s="202"/>
      <c r="DK14" s="202"/>
      <c r="DL14" s="129"/>
      <c r="DM14" s="129"/>
      <c r="DN14" s="201" t="s">
        <v>36</v>
      </c>
      <c r="DO14" s="201"/>
      <c r="DP14" s="201"/>
      <c r="DQ14" s="201"/>
      <c r="DR14" s="104"/>
      <c r="DS14" s="104"/>
      <c r="DT14" s="104"/>
      <c r="DU14" s="105"/>
      <c r="DV14" s="103"/>
      <c r="DW14" s="104"/>
      <c r="DX14" s="104"/>
      <c r="DY14" s="104"/>
      <c r="DZ14" s="201" t="s">
        <v>32</v>
      </c>
      <c r="EA14" s="201"/>
      <c r="EB14" s="201"/>
      <c r="EC14" s="201"/>
      <c r="ED14" s="104"/>
      <c r="EE14" s="104"/>
      <c r="EF14" s="202" t="s">
        <v>22</v>
      </c>
      <c r="EG14" s="202"/>
      <c r="EH14" s="202"/>
      <c r="EI14" s="202"/>
      <c r="EJ14" s="129"/>
      <c r="EK14" s="129"/>
      <c r="EL14" s="201" t="s">
        <v>33</v>
      </c>
      <c r="EM14" s="201"/>
      <c r="EN14" s="201"/>
      <c r="EO14" s="201"/>
      <c r="EP14" s="104"/>
      <c r="EQ14" s="104"/>
      <c r="ER14" s="202" t="s">
        <v>23</v>
      </c>
      <c r="ES14" s="202"/>
      <c r="ET14" s="202"/>
      <c r="EU14" s="202"/>
      <c r="EV14" s="129"/>
      <c r="EW14" s="129"/>
      <c r="EX14" s="201" t="s">
        <v>34</v>
      </c>
      <c r="EY14" s="201"/>
      <c r="EZ14" s="201"/>
      <c r="FA14" s="201"/>
      <c r="FB14" s="104"/>
      <c r="FC14" s="104"/>
      <c r="FD14" s="202" t="s">
        <v>24</v>
      </c>
      <c r="FE14" s="202"/>
      <c r="FF14" s="202"/>
      <c r="FG14" s="202"/>
      <c r="FH14" s="129"/>
      <c r="FI14" s="129"/>
      <c r="FJ14" s="201" t="s">
        <v>35</v>
      </c>
      <c r="FK14" s="201"/>
      <c r="FL14" s="201"/>
      <c r="FM14" s="201"/>
      <c r="FN14" s="104"/>
      <c r="FO14" s="104"/>
      <c r="FP14" s="202" t="s">
        <v>25</v>
      </c>
      <c r="FQ14" s="202"/>
      <c r="FR14" s="202"/>
      <c r="FS14" s="202"/>
      <c r="FT14" s="129"/>
      <c r="FU14" s="129"/>
      <c r="FV14" s="201" t="s">
        <v>36</v>
      </c>
      <c r="FW14" s="201"/>
      <c r="FX14" s="201"/>
      <c r="FY14" s="201"/>
      <c r="FZ14" s="104"/>
      <c r="GA14" s="104"/>
      <c r="GB14" s="104"/>
      <c r="GC14" s="105"/>
      <c r="GD14" s="103"/>
      <c r="GE14" s="104"/>
      <c r="GF14" s="104"/>
      <c r="GG14" s="104"/>
      <c r="GH14" s="201" t="s">
        <v>32</v>
      </c>
      <c r="GI14" s="201"/>
      <c r="GJ14" s="201"/>
      <c r="GK14" s="201"/>
      <c r="GL14" s="104"/>
      <c r="GM14" s="104"/>
      <c r="GN14" s="202" t="s">
        <v>22</v>
      </c>
      <c r="GO14" s="202"/>
      <c r="GP14" s="202"/>
      <c r="GQ14" s="202"/>
      <c r="GR14" s="129"/>
      <c r="GS14" s="129"/>
      <c r="GT14" s="201" t="s">
        <v>33</v>
      </c>
      <c r="GU14" s="201"/>
      <c r="GV14" s="201"/>
      <c r="GW14" s="201"/>
      <c r="GX14" s="104"/>
      <c r="GY14" s="104"/>
      <c r="GZ14" s="202" t="s">
        <v>23</v>
      </c>
      <c r="HA14" s="202"/>
      <c r="HB14" s="202"/>
      <c r="HC14" s="202"/>
      <c r="HD14" s="129"/>
      <c r="HE14" s="129"/>
      <c r="HF14" s="201" t="s">
        <v>34</v>
      </c>
      <c r="HG14" s="201"/>
      <c r="HH14" s="201"/>
      <c r="HI14" s="201"/>
      <c r="HJ14" s="104"/>
      <c r="HK14" s="104"/>
      <c r="HL14" s="202" t="s">
        <v>24</v>
      </c>
      <c r="HM14" s="202"/>
      <c r="HN14" s="202"/>
      <c r="HO14" s="202"/>
      <c r="HP14" s="129"/>
      <c r="HQ14" s="129"/>
      <c r="HR14" s="201" t="s">
        <v>35</v>
      </c>
      <c r="HS14" s="201"/>
      <c r="HT14" s="201"/>
      <c r="HU14" s="201"/>
      <c r="HV14" s="104"/>
      <c r="HW14" s="104"/>
      <c r="HX14" s="202" t="s">
        <v>25</v>
      </c>
      <c r="HY14" s="202"/>
      <c r="HZ14" s="202"/>
      <c r="IA14" s="202"/>
      <c r="IB14" s="129"/>
      <c r="IC14" s="129"/>
      <c r="ID14" s="201" t="s">
        <v>36</v>
      </c>
      <c r="IE14" s="201"/>
      <c r="IF14" s="201"/>
      <c r="IG14" s="201"/>
      <c r="IH14" s="104"/>
      <c r="II14" s="104"/>
      <c r="IJ14" s="104"/>
      <c r="IK14" s="105"/>
      <c r="IL14" s="103"/>
      <c r="IM14" s="104"/>
      <c r="IN14" s="104"/>
      <c r="IO14" s="104"/>
      <c r="IP14" s="201" t="s">
        <v>32</v>
      </c>
      <c r="IQ14" s="201"/>
      <c r="IR14" s="201"/>
      <c r="IS14" s="201"/>
      <c r="IT14" s="104"/>
      <c r="IU14" s="104"/>
      <c r="IV14" s="202" t="s">
        <v>22</v>
      </c>
      <c r="IW14" s="202"/>
      <c r="IX14" s="202"/>
      <c r="IY14" s="202"/>
      <c r="IZ14" s="129"/>
      <c r="JA14" s="129"/>
      <c r="JB14" s="201" t="s">
        <v>33</v>
      </c>
      <c r="JC14" s="201"/>
      <c r="JD14" s="201"/>
      <c r="JE14" s="201"/>
      <c r="JF14" s="104"/>
      <c r="JG14" s="104"/>
      <c r="JH14" s="202" t="s">
        <v>23</v>
      </c>
      <c r="JI14" s="202"/>
      <c r="JJ14" s="202"/>
      <c r="JK14" s="202"/>
      <c r="JL14" s="129"/>
      <c r="JM14" s="129"/>
      <c r="JN14" s="201" t="s">
        <v>34</v>
      </c>
      <c r="JO14" s="201"/>
      <c r="JP14" s="201"/>
      <c r="JQ14" s="201"/>
      <c r="JR14" s="104"/>
      <c r="JS14" s="104"/>
      <c r="JT14" s="202" t="s">
        <v>24</v>
      </c>
      <c r="JU14" s="202"/>
      <c r="JV14" s="202"/>
      <c r="JW14" s="202"/>
      <c r="JX14" s="129"/>
      <c r="JY14" s="129"/>
      <c r="JZ14" s="201" t="s">
        <v>35</v>
      </c>
      <c r="KA14" s="201"/>
      <c r="KB14" s="201"/>
      <c r="KC14" s="201"/>
      <c r="KD14" s="104"/>
      <c r="KE14" s="104"/>
      <c r="KF14" s="202" t="s">
        <v>25</v>
      </c>
      <c r="KG14" s="202"/>
      <c r="KH14" s="202"/>
      <c r="KI14" s="202"/>
      <c r="KJ14" s="129"/>
      <c r="KK14" s="129"/>
      <c r="KL14" s="201" t="s">
        <v>36</v>
      </c>
      <c r="KM14" s="201"/>
      <c r="KN14" s="201"/>
      <c r="KO14" s="201"/>
      <c r="KP14" s="104"/>
      <c r="KQ14" s="104"/>
      <c r="KR14" s="104"/>
      <c r="KS14" s="105"/>
      <c r="KT14" s="103"/>
      <c r="KU14" s="104"/>
      <c r="KV14" s="104"/>
      <c r="KW14" s="104"/>
      <c r="KX14" s="201" t="s">
        <v>32</v>
      </c>
      <c r="KY14" s="201"/>
      <c r="KZ14" s="201"/>
      <c r="LA14" s="201"/>
      <c r="LB14" s="104"/>
      <c r="LC14" s="104"/>
      <c r="LD14" s="202" t="s">
        <v>22</v>
      </c>
      <c r="LE14" s="202"/>
      <c r="LF14" s="202"/>
      <c r="LG14" s="202"/>
      <c r="LH14" s="129"/>
      <c r="LI14" s="129"/>
      <c r="LJ14" s="201" t="s">
        <v>33</v>
      </c>
      <c r="LK14" s="201"/>
      <c r="LL14" s="201"/>
      <c r="LM14" s="201"/>
      <c r="LN14" s="104"/>
      <c r="LO14" s="104"/>
      <c r="LP14" s="202" t="s">
        <v>23</v>
      </c>
      <c r="LQ14" s="202"/>
      <c r="LR14" s="202"/>
      <c r="LS14" s="202"/>
      <c r="LT14" s="129"/>
      <c r="LU14" s="129"/>
      <c r="LV14" s="201" t="s">
        <v>34</v>
      </c>
      <c r="LW14" s="201"/>
      <c r="LX14" s="201"/>
      <c r="LY14" s="201"/>
      <c r="LZ14" s="104"/>
      <c r="MA14" s="104"/>
      <c r="MB14" s="202" t="s">
        <v>24</v>
      </c>
      <c r="MC14" s="202"/>
      <c r="MD14" s="202"/>
      <c r="ME14" s="202"/>
      <c r="MF14" s="129"/>
      <c r="MG14" s="129"/>
      <c r="MH14" s="201" t="s">
        <v>35</v>
      </c>
      <c r="MI14" s="201"/>
      <c r="MJ14" s="201"/>
      <c r="MK14" s="201"/>
      <c r="ML14" s="104"/>
      <c r="MM14" s="104"/>
      <c r="MN14" s="202" t="s">
        <v>25</v>
      </c>
      <c r="MO14" s="202"/>
      <c r="MP14" s="202"/>
      <c r="MQ14" s="202"/>
      <c r="MR14" s="129"/>
      <c r="MS14" s="129"/>
      <c r="MT14" s="201" t="s">
        <v>36</v>
      </c>
      <c r="MU14" s="201"/>
      <c r="MV14" s="201"/>
      <c r="MW14" s="201"/>
      <c r="MX14" s="104"/>
      <c r="MY14" s="104"/>
      <c r="MZ14" s="104"/>
      <c r="NA14" s="105"/>
      <c r="NB14" s="103"/>
      <c r="NC14" s="104"/>
      <c r="ND14" s="104"/>
      <c r="NE14" s="104"/>
      <c r="NF14" s="201" t="s">
        <v>32</v>
      </c>
      <c r="NG14" s="201"/>
      <c r="NH14" s="201"/>
      <c r="NI14" s="201"/>
      <c r="NJ14" s="104"/>
      <c r="NK14" s="104"/>
      <c r="NL14" s="202" t="s">
        <v>22</v>
      </c>
      <c r="NM14" s="202"/>
      <c r="NN14" s="202"/>
      <c r="NO14" s="202"/>
      <c r="NP14" s="129"/>
      <c r="NQ14" s="129"/>
      <c r="NR14" s="201" t="s">
        <v>33</v>
      </c>
      <c r="NS14" s="201"/>
      <c r="NT14" s="201"/>
      <c r="NU14" s="201"/>
      <c r="NV14" s="104"/>
      <c r="NW14" s="104"/>
      <c r="NX14" s="202" t="s">
        <v>23</v>
      </c>
      <c r="NY14" s="202"/>
      <c r="NZ14" s="202"/>
      <c r="OA14" s="202"/>
      <c r="OB14" s="129"/>
      <c r="OC14" s="129"/>
      <c r="OD14" s="201" t="s">
        <v>34</v>
      </c>
      <c r="OE14" s="201"/>
      <c r="OF14" s="201"/>
      <c r="OG14" s="201"/>
      <c r="OH14" s="104"/>
      <c r="OI14" s="104"/>
      <c r="OJ14" s="202" t="s">
        <v>24</v>
      </c>
      <c r="OK14" s="202"/>
      <c r="OL14" s="202"/>
      <c r="OM14" s="202"/>
      <c r="ON14" s="129"/>
      <c r="OO14" s="129"/>
      <c r="OP14" s="201" t="s">
        <v>35</v>
      </c>
      <c r="OQ14" s="201"/>
      <c r="OR14" s="201"/>
      <c r="OS14" s="201"/>
      <c r="OT14" s="104"/>
      <c r="OU14" s="104"/>
      <c r="OV14" s="202" t="s">
        <v>25</v>
      </c>
      <c r="OW14" s="202"/>
      <c r="OX14" s="202"/>
      <c r="OY14" s="202"/>
      <c r="OZ14" s="129"/>
      <c r="PA14" s="129"/>
      <c r="PB14" s="201" t="s">
        <v>36</v>
      </c>
      <c r="PC14" s="201"/>
      <c r="PD14" s="201"/>
      <c r="PE14" s="201"/>
      <c r="PF14" s="104"/>
      <c r="PG14" s="104"/>
      <c r="PH14" s="104"/>
      <c r="PI14" s="105"/>
      <c r="PJ14" s="103"/>
      <c r="PK14" s="104"/>
      <c r="PL14" s="104"/>
      <c r="PM14" s="104"/>
      <c r="PN14" s="201" t="s">
        <v>32</v>
      </c>
      <c r="PO14" s="201"/>
      <c r="PP14" s="201"/>
      <c r="PQ14" s="201"/>
      <c r="PR14" s="104"/>
      <c r="PS14" s="104"/>
      <c r="PT14" s="202" t="s">
        <v>22</v>
      </c>
      <c r="PU14" s="202"/>
      <c r="PV14" s="202"/>
      <c r="PW14" s="202"/>
      <c r="PX14" s="129"/>
      <c r="PY14" s="129"/>
      <c r="PZ14" s="201" t="s">
        <v>33</v>
      </c>
      <c r="QA14" s="201"/>
      <c r="QB14" s="201"/>
      <c r="QC14" s="201"/>
      <c r="QD14" s="104"/>
      <c r="QE14" s="104"/>
      <c r="QF14" s="202" t="s">
        <v>23</v>
      </c>
      <c r="QG14" s="202"/>
      <c r="QH14" s="202"/>
      <c r="QI14" s="202"/>
      <c r="QJ14" s="129"/>
      <c r="QK14" s="129"/>
      <c r="QL14" s="201" t="s">
        <v>34</v>
      </c>
      <c r="QM14" s="201"/>
      <c r="QN14" s="201"/>
      <c r="QO14" s="201"/>
      <c r="QP14" s="104"/>
      <c r="QQ14" s="104"/>
      <c r="QR14" s="202" t="s">
        <v>24</v>
      </c>
      <c r="QS14" s="202"/>
      <c r="QT14" s="202"/>
      <c r="QU14" s="202"/>
      <c r="QV14" s="129"/>
      <c r="QW14" s="129"/>
      <c r="QX14" s="201" t="s">
        <v>35</v>
      </c>
      <c r="QY14" s="201"/>
      <c r="QZ14" s="201"/>
      <c r="RA14" s="201"/>
      <c r="RB14" s="104"/>
      <c r="RC14" s="104"/>
      <c r="RD14" s="202" t="s">
        <v>25</v>
      </c>
      <c r="RE14" s="202"/>
      <c r="RF14" s="202"/>
      <c r="RG14" s="202"/>
      <c r="RH14" s="129"/>
      <c r="RI14" s="129"/>
      <c r="RJ14" s="201" t="s">
        <v>36</v>
      </c>
      <c r="RK14" s="201"/>
      <c r="RL14" s="201"/>
      <c r="RM14" s="201"/>
      <c r="RN14" s="104"/>
      <c r="RO14" s="104"/>
      <c r="RP14" s="104"/>
      <c r="RQ14" s="105"/>
      <c r="RR14" s="103"/>
      <c r="RS14" s="104"/>
      <c r="RT14" s="104"/>
      <c r="RU14" s="104"/>
      <c r="RV14" s="201" t="s">
        <v>32</v>
      </c>
      <c r="RW14" s="201"/>
      <c r="RX14" s="201"/>
      <c r="RY14" s="201"/>
      <c r="RZ14" s="104"/>
      <c r="SA14" s="104"/>
      <c r="SB14" s="202" t="s">
        <v>22</v>
      </c>
      <c r="SC14" s="202"/>
      <c r="SD14" s="202"/>
      <c r="SE14" s="202"/>
      <c r="SF14" s="129"/>
      <c r="SG14" s="129"/>
      <c r="SH14" s="201" t="s">
        <v>33</v>
      </c>
      <c r="SI14" s="201"/>
      <c r="SJ14" s="201"/>
      <c r="SK14" s="201"/>
      <c r="SL14" s="104"/>
      <c r="SM14" s="104"/>
      <c r="SN14" s="202" t="s">
        <v>23</v>
      </c>
      <c r="SO14" s="202"/>
      <c r="SP14" s="202"/>
      <c r="SQ14" s="202"/>
      <c r="SR14" s="129"/>
      <c r="SS14" s="129"/>
      <c r="ST14" s="201" t="s">
        <v>34</v>
      </c>
      <c r="SU14" s="201"/>
      <c r="SV14" s="201"/>
      <c r="SW14" s="201"/>
      <c r="SX14" s="104"/>
      <c r="SY14" s="104"/>
      <c r="SZ14" s="202" t="s">
        <v>24</v>
      </c>
      <c r="TA14" s="202"/>
      <c r="TB14" s="202"/>
      <c r="TC14" s="202"/>
      <c r="TD14" s="129"/>
      <c r="TE14" s="129"/>
      <c r="TF14" s="201" t="s">
        <v>35</v>
      </c>
      <c r="TG14" s="201"/>
      <c r="TH14" s="201"/>
      <c r="TI14" s="201"/>
      <c r="TJ14" s="104"/>
      <c r="TK14" s="104"/>
      <c r="TL14" s="202" t="s">
        <v>25</v>
      </c>
      <c r="TM14" s="202"/>
      <c r="TN14" s="202"/>
      <c r="TO14" s="202"/>
      <c r="TP14" s="129"/>
      <c r="TQ14" s="129"/>
      <c r="TR14" s="201" t="s">
        <v>36</v>
      </c>
      <c r="TS14" s="201"/>
      <c r="TT14" s="201"/>
      <c r="TU14" s="201"/>
      <c r="TV14" s="104"/>
      <c r="TW14" s="104"/>
      <c r="TX14" s="104"/>
      <c r="TY14" s="105"/>
      <c r="TZ14" s="103"/>
      <c r="UA14" s="104"/>
      <c r="UB14" s="104"/>
      <c r="UC14" s="104"/>
      <c r="UD14" s="201" t="s">
        <v>32</v>
      </c>
      <c r="UE14" s="201"/>
      <c r="UF14" s="201"/>
      <c r="UG14" s="201"/>
      <c r="UH14" s="104"/>
      <c r="UI14" s="104"/>
      <c r="UJ14" s="202" t="s">
        <v>22</v>
      </c>
      <c r="UK14" s="202"/>
      <c r="UL14" s="202"/>
      <c r="UM14" s="202"/>
      <c r="UN14" s="129"/>
      <c r="UO14" s="129"/>
      <c r="UP14" s="201" t="s">
        <v>33</v>
      </c>
      <c r="UQ14" s="201"/>
      <c r="UR14" s="201"/>
      <c r="US14" s="201"/>
      <c r="UT14" s="104"/>
      <c r="UU14" s="104"/>
      <c r="UV14" s="202" t="s">
        <v>23</v>
      </c>
      <c r="UW14" s="202"/>
      <c r="UX14" s="202"/>
      <c r="UY14" s="202"/>
      <c r="UZ14" s="129"/>
      <c r="VA14" s="129"/>
      <c r="VB14" s="201" t="s">
        <v>34</v>
      </c>
      <c r="VC14" s="201"/>
      <c r="VD14" s="201"/>
      <c r="VE14" s="201"/>
      <c r="VF14" s="104"/>
      <c r="VG14" s="104"/>
      <c r="VH14" s="202" t="s">
        <v>24</v>
      </c>
      <c r="VI14" s="202"/>
      <c r="VJ14" s="202"/>
      <c r="VK14" s="202"/>
      <c r="VL14" s="129"/>
      <c r="VM14" s="129"/>
      <c r="VN14" s="201" t="s">
        <v>35</v>
      </c>
      <c r="VO14" s="201"/>
      <c r="VP14" s="201"/>
      <c r="VQ14" s="201"/>
      <c r="VR14" s="104"/>
      <c r="VS14" s="104"/>
      <c r="VT14" s="202" t="s">
        <v>25</v>
      </c>
      <c r="VU14" s="202"/>
      <c r="VV14" s="202"/>
      <c r="VW14" s="202"/>
      <c r="VX14" s="129"/>
      <c r="VY14" s="129"/>
      <c r="VZ14" s="201" t="s">
        <v>36</v>
      </c>
      <c r="WA14" s="201"/>
      <c r="WB14" s="201"/>
      <c r="WC14" s="201"/>
      <c r="WD14" s="104"/>
      <c r="WE14" s="104"/>
      <c r="WF14" s="104"/>
      <c r="WG14" s="105"/>
      <c r="WH14" s="103"/>
      <c r="WI14" s="104"/>
      <c r="WJ14" s="104"/>
      <c r="WK14" s="104"/>
      <c r="WL14" s="201" t="s">
        <v>32</v>
      </c>
      <c r="WM14" s="201"/>
      <c r="WN14" s="201"/>
      <c r="WO14" s="201"/>
      <c r="WP14" s="104"/>
      <c r="WQ14" s="104"/>
      <c r="WR14" s="202" t="s">
        <v>22</v>
      </c>
      <c r="WS14" s="202"/>
      <c r="WT14" s="202"/>
      <c r="WU14" s="202"/>
      <c r="WV14" s="129"/>
      <c r="WW14" s="129"/>
      <c r="WX14" s="201" t="s">
        <v>33</v>
      </c>
      <c r="WY14" s="201"/>
      <c r="WZ14" s="201"/>
      <c r="XA14" s="201"/>
      <c r="XB14" s="104"/>
      <c r="XC14" s="104"/>
      <c r="XD14" s="202" t="s">
        <v>23</v>
      </c>
      <c r="XE14" s="202"/>
      <c r="XF14" s="202"/>
      <c r="XG14" s="202"/>
      <c r="XH14" s="129"/>
      <c r="XI14" s="129"/>
      <c r="XJ14" s="201" t="s">
        <v>34</v>
      </c>
      <c r="XK14" s="201"/>
      <c r="XL14" s="201"/>
      <c r="XM14" s="201"/>
      <c r="XN14" s="104"/>
      <c r="XO14" s="104"/>
      <c r="XP14" s="202" t="s">
        <v>24</v>
      </c>
      <c r="XQ14" s="202"/>
      <c r="XR14" s="202"/>
      <c r="XS14" s="202"/>
      <c r="XT14" s="129"/>
      <c r="XU14" s="129"/>
      <c r="XV14" s="201" t="s">
        <v>35</v>
      </c>
      <c r="XW14" s="201"/>
      <c r="XX14" s="201"/>
      <c r="XY14" s="201"/>
      <c r="XZ14" s="104"/>
      <c r="YA14" s="104"/>
      <c r="YB14" s="202" t="s">
        <v>25</v>
      </c>
      <c r="YC14" s="202"/>
      <c r="YD14" s="202"/>
      <c r="YE14" s="202"/>
      <c r="YF14" s="129"/>
      <c r="YG14" s="129"/>
      <c r="YH14" s="201" t="s">
        <v>36</v>
      </c>
      <c r="YI14" s="201"/>
      <c r="YJ14" s="201"/>
      <c r="YK14" s="201"/>
      <c r="YL14" s="104"/>
      <c r="YM14" s="104"/>
      <c r="YN14" s="104"/>
      <c r="YO14" s="105"/>
      <c r="YP14" s="103"/>
      <c r="YQ14" s="104"/>
      <c r="YR14" s="104"/>
      <c r="YS14" s="104"/>
      <c r="YT14" s="201" t="s">
        <v>32</v>
      </c>
      <c r="YU14" s="201"/>
      <c r="YV14" s="201"/>
      <c r="YW14" s="201"/>
      <c r="YX14" s="104"/>
      <c r="YY14" s="104"/>
      <c r="YZ14" s="202" t="s">
        <v>22</v>
      </c>
      <c r="ZA14" s="202"/>
      <c r="ZB14" s="202"/>
      <c r="ZC14" s="202"/>
      <c r="ZD14" s="129"/>
      <c r="ZE14" s="129"/>
      <c r="ZF14" s="201" t="s">
        <v>33</v>
      </c>
      <c r="ZG14" s="201"/>
      <c r="ZH14" s="201"/>
      <c r="ZI14" s="201"/>
      <c r="ZJ14" s="104"/>
      <c r="ZK14" s="104"/>
      <c r="ZL14" s="202" t="s">
        <v>23</v>
      </c>
      <c r="ZM14" s="202"/>
      <c r="ZN14" s="202"/>
      <c r="ZO14" s="202"/>
      <c r="ZP14" s="129"/>
      <c r="ZQ14" s="129"/>
      <c r="ZR14" s="201" t="s">
        <v>34</v>
      </c>
      <c r="ZS14" s="201"/>
      <c r="ZT14" s="201"/>
      <c r="ZU14" s="201"/>
      <c r="ZV14" s="104"/>
      <c r="ZW14" s="104"/>
      <c r="ZX14" s="202" t="s">
        <v>24</v>
      </c>
      <c r="ZY14" s="202"/>
      <c r="ZZ14" s="202"/>
      <c r="AAA14" s="202"/>
      <c r="AAB14" s="129"/>
      <c r="AAC14" s="129"/>
      <c r="AAD14" s="201" t="s">
        <v>35</v>
      </c>
      <c r="AAE14" s="201"/>
      <c r="AAF14" s="201"/>
      <c r="AAG14" s="201"/>
      <c r="AAH14" s="104"/>
      <c r="AAI14" s="104"/>
      <c r="AAJ14" s="202" t="s">
        <v>25</v>
      </c>
      <c r="AAK14" s="202"/>
      <c r="AAL14" s="202"/>
      <c r="AAM14" s="202"/>
      <c r="AAN14" s="129"/>
      <c r="AAO14" s="129"/>
      <c r="AAP14" s="201" t="s">
        <v>36</v>
      </c>
      <c r="AAQ14" s="201"/>
      <c r="AAR14" s="201"/>
      <c r="AAS14" s="201"/>
      <c r="AAT14" s="104"/>
      <c r="AAU14" s="104"/>
      <c r="AAV14" s="104"/>
      <c r="AAW14" s="105"/>
      <c r="AAX14" s="103"/>
      <c r="AAY14" s="104"/>
      <c r="AAZ14" s="104"/>
      <c r="ABA14" s="104"/>
      <c r="ABB14" s="201" t="s">
        <v>32</v>
      </c>
      <c r="ABC14" s="201"/>
      <c r="ABD14" s="201"/>
      <c r="ABE14" s="201"/>
      <c r="ABF14" s="104"/>
      <c r="ABG14" s="104"/>
      <c r="ABH14" s="202" t="s">
        <v>22</v>
      </c>
      <c r="ABI14" s="202"/>
      <c r="ABJ14" s="202"/>
      <c r="ABK14" s="202"/>
      <c r="ABL14" s="129"/>
      <c r="ABM14" s="129"/>
      <c r="ABN14" s="201" t="s">
        <v>33</v>
      </c>
      <c r="ABO14" s="201"/>
      <c r="ABP14" s="201"/>
      <c r="ABQ14" s="201"/>
      <c r="ABR14" s="104"/>
      <c r="ABS14" s="104"/>
      <c r="ABT14" s="202" t="s">
        <v>23</v>
      </c>
      <c r="ABU14" s="202"/>
      <c r="ABV14" s="202"/>
      <c r="ABW14" s="202"/>
      <c r="ABX14" s="129"/>
      <c r="ABY14" s="129"/>
      <c r="ABZ14" s="201" t="s">
        <v>34</v>
      </c>
      <c r="ACA14" s="201"/>
      <c r="ACB14" s="201"/>
      <c r="ACC14" s="201"/>
      <c r="ACD14" s="104"/>
      <c r="ACE14" s="104"/>
      <c r="ACF14" s="202" t="s">
        <v>24</v>
      </c>
      <c r="ACG14" s="202"/>
      <c r="ACH14" s="202"/>
      <c r="ACI14" s="202"/>
      <c r="ACJ14" s="129"/>
      <c r="ACK14" s="129"/>
      <c r="ACL14" s="201" t="s">
        <v>35</v>
      </c>
      <c r="ACM14" s="201"/>
      <c r="ACN14" s="201"/>
      <c r="ACO14" s="201"/>
      <c r="ACP14" s="104"/>
      <c r="ACQ14" s="104"/>
      <c r="ACR14" s="202" t="s">
        <v>25</v>
      </c>
      <c r="ACS14" s="202"/>
      <c r="ACT14" s="202"/>
      <c r="ACU14" s="202"/>
      <c r="ACV14" s="129"/>
      <c r="ACW14" s="129"/>
      <c r="ACX14" s="201" t="s">
        <v>36</v>
      </c>
      <c r="ACY14" s="201"/>
      <c r="ACZ14" s="201"/>
      <c r="ADA14" s="201"/>
      <c r="ADB14" s="104"/>
      <c r="ADC14" s="104"/>
      <c r="ADD14" s="104"/>
      <c r="ADE14" s="105"/>
      <c r="ADF14" s="103"/>
      <c r="ADG14" s="104"/>
      <c r="ADH14" s="104"/>
      <c r="ADI14" s="104"/>
      <c r="ADJ14" s="201" t="s">
        <v>32</v>
      </c>
      <c r="ADK14" s="201"/>
      <c r="ADL14" s="201"/>
      <c r="ADM14" s="201"/>
      <c r="ADN14" s="104"/>
      <c r="ADO14" s="104"/>
      <c r="ADP14" s="202" t="s">
        <v>22</v>
      </c>
      <c r="ADQ14" s="202"/>
      <c r="ADR14" s="202"/>
      <c r="ADS14" s="202"/>
      <c r="ADT14" s="129"/>
      <c r="ADU14" s="129"/>
      <c r="ADV14" s="201" t="s">
        <v>33</v>
      </c>
      <c r="ADW14" s="201"/>
      <c r="ADX14" s="201"/>
      <c r="ADY14" s="201"/>
      <c r="ADZ14" s="104"/>
      <c r="AEA14" s="104"/>
      <c r="AEB14" s="202" t="s">
        <v>23</v>
      </c>
      <c r="AEC14" s="202"/>
      <c r="AED14" s="202"/>
      <c r="AEE14" s="202"/>
      <c r="AEF14" s="129"/>
      <c r="AEG14" s="129"/>
      <c r="AEH14" s="201" t="s">
        <v>34</v>
      </c>
      <c r="AEI14" s="201"/>
      <c r="AEJ14" s="201"/>
      <c r="AEK14" s="201"/>
      <c r="AEL14" s="104"/>
      <c r="AEM14" s="104"/>
      <c r="AEN14" s="202" t="s">
        <v>24</v>
      </c>
      <c r="AEO14" s="202"/>
      <c r="AEP14" s="202"/>
      <c r="AEQ14" s="202"/>
      <c r="AER14" s="129"/>
      <c r="AES14" s="129"/>
      <c r="AET14" s="201" t="s">
        <v>35</v>
      </c>
      <c r="AEU14" s="201"/>
      <c r="AEV14" s="201"/>
      <c r="AEW14" s="201"/>
      <c r="AEX14" s="104"/>
      <c r="AEY14" s="104"/>
      <c r="AEZ14" s="202" t="s">
        <v>25</v>
      </c>
      <c r="AFA14" s="202"/>
      <c r="AFB14" s="202"/>
      <c r="AFC14" s="202"/>
      <c r="AFD14" s="129"/>
      <c r="AFE14" s="129"/>
      <c r="AFF14" s="201" t="s">
        <v>36</v>
      </c>
      <c r="AFG14" s="201"/>
      <c r="AFH14" s="201"/>
      <c r="AFI14" s="201"/>
      <c r="AFJ14" s="104"/>
      <c r="AFK14" s="104"/>
      <c r="AFL14" s="104"/>
      <c r="AFM14" s="105"/>
      <c r="AFN14" s="103"/>
      <c r="AFO14" s="104"/>
      <c r="AFP14" s="104"/>
      <c r="AFQ14" s="104"/>
      <c r="AFR14" s="201" t="s">
        <v>32</v>
      </c>
      <c r="AFS14" s="201"/>
      <c r="AFT14" s="201"/>
      <c r="AFU14" s="201"/>
      <c r="AFV14" s="104"/>
      <c r="AFW14" s="104"/>
      <c r="AFX14" s="202" t="s">
        <v>22</v>
      </c>
      <c r="AFY14" s="202"/>
      <c r="AFZ14" s="202"/>
      <c r="AGA14" s="202"/>
      <c r="AGB14" s="129"/>
      <c r="AGC14" s="129"/>
      <c r="AGD14" s="201" t="s">
        <v>33</v>
      </c>
      <c r="AGE14" s="201"/>
      <c r="AGF14" s="201"/>
      <c r="AGG14" s="201"/>
      <c r="AGH14" s="104"/>
      <c r="AGI14" s="104"/>
      <c r="AGJ14" s="202" t="s">
        <v>23</v>
      </c>
      <c r="AGK14" s="202"/>
      <c r="AGL14" s="202"/>
      <c r="AGM14" s="202"/>
      <c r="AGN14" s="129"/>
      <c r="AGO14" s="129"/>
      <c r="AGP14" s="201" t="s">
        <v>34</v>
      </c>
      <c r="AGQ14" s="201"/>
      <c r="AGR14" s="201"/>
      <c r="AGS14" s="201"/>
      <c r="AGT14" s="104"/>
      <c r="AGU14" s="104"/>
      <c r="AGV14" s="202" t="s">
        <v>24</v>
      </c>
      <c r="AGW14" s="202"/>
      <c r="AGX14" s="202"/>
      <c r="AGY14" s="202"/>
      <c r="AGZ14" s="129"/>
      <c r="AHA14" s="129"/>
      <c r="AHB14" s="201" t="s">
        <v>35</v>
      </c>
      <c r="AHC14" s="201"/>
      <c r="AHD14" s="201"/>
      <c r="AHE14" s="201"/>
      <c r="AHF14" s="104"/>
      <c r="AHG14" s="104"/>
      <c r="AHH14" s="202" t="s">
        <v>25</v>
      </c>
      <c r="AHI14" s="202"/>
      <c r="AHJ14" s="202"/>
      <c r="AHK14" s="202"/>
      <c r="AHL14" s="129"/>
      <c r="AHM14" s="129"/>
      <c r="AHN14" s="201" t="s">
        <v>36</v>
      </c>
      <c r="AHO14" s="201"/>
      <c r="AHP14" s="201"/>
      <c r="AHQ14" s="201"/>
      <c r="AHR14" s="104"/>
      <c r="AHS14" s="104"/>
      <c r="AHT14" s="104"/>
      <c r="AHU14" s="105"/>
      <c r="AHV14" s="103"/>
      <c r="AHW14" s="104"/>
      <c r="AHX14" s="104"/>
      <c r="AHY14" s="104"/>
      <c r="AHZ14" s="201" t="s">
        <v>32</v>
      </c>
      <c r="AIA14" s="201"/>
      <c r="AIB14" s="201"/>
      <c r="AIC14" s="201"/>
      <c r="AID14" s="104"/>
      <c r="AIE14" s="104"/>
      <c r="AIF14" s="202" t="s">
        <v>22</v>
      </c>
      <c r="AIG14" s="202"/>
      <c r="AIH14" s="202"/>
      <c r="AII14" s="202"/>
      <c r="AIJ14" s="129"/>
      <c r="AIK14" s="129"/>
      <c r="AIL14" s="201" t="s">
        <v>33</v>
      </c>
      <c r="AIM14" s="201"/>
      <c r="AIN14" s="201"/>
      <c r="AIO14" s="201"/>
      <c r="AIP14" s="104"/>
      <c r="AIQ14" s="104"/>
      <c r="AIR14" s="202" t="s">
        <v>23</v>
      </c>
      <c r="AIS14" s="202"/>
      <c r="AIT14" s="202"/>
      <c r="AIU14" s="202"/>
      <c r="AIV14" s="129"/>
      <c r="AIW14" s="129"/>
      <c r="AIX14" s="201" t="s">
        <v>34</v>
      </c>
      <c r="AIY14" s="201"/>
      <c r="AIZ14" s="201"/>
      <c r="AJA14" s="201"/>
      <c r="AJB14" s="104"/>
      <c r="AJC14" s="104"/>
      <c r="AJD14" s="202" t="s">
        <v>24</v>
      </c>
      <c r="AJE14" s="202"/>
      <c r="AJF14" s="202"/>
      <c r="AJG14" s="202"/>
      <c r="AJH14" s="129"/>
      <c r="AJI14" s="129"/>
      <c r="AJJ14" s="201" t="s">
        <v>35</v>
      </c>
      <c r="AJK14" s="201"/>
      <c r="AJL14" s="201"/>
      <c r="AJM14" s="201"/>
      <c r="AJN14" s="104"/>
      <c r="AJO14" s="104"/>
      <c r="AJP14" s="202" t="s">
        <v>25</v>
      </c>
      <c r="AJQ14" s="202"/>
      <c r="AJR14" s="202"/>
      <c r="AJS14" s="202"/>
      <c r="AJT14" s="129"/>
      <c r="AJU14" s="129"/>
      <c r="AJV14" s="201" t="s">
        <v>36</v>
      </c>
      <c r="AJW14" s="201"/>
      <c r="AJX14" s="201"/>
      <c r="AJY14" s="201"/>
      <c r="AJZ14" s="104"/>
      <c r="AKA14" s="104"/>
      <c r="AKB14" s="104"/>
      <c r="AKC14" s="105"/>
      <c r="AKD14" s="103"/>
      <c r="AKE14" s="104"/>
      <c r="AKF14" s="104"/>
      <c r="AKG14" s="104"/>
      <c r="AKH14" s="201" t="s">
        <v>32</v>
      </c>
      <c r="AKI14" s="201"/>
      <c r="AKJ14" s="201"/>
      <c r="AKK14" s="201"/>
      <c r="AKL14" s="104"/>
      <c r="AKM14" s="104"/>
      <c r="AKN14" s="202" t="s">
        <v>22</v>
      </c>
      <c r="AKO14" s="202"/>
      <c r="AKP14" s="202"/>
      <c r="AKQ14" s="202"/>
      <c r="AKR14" s="129"/>
      <c r="AKS14" s="129"/>
      <c r="AKT14" s="201" t="s">
        <v>33</v>
      </c>
      <c r="AKU14" s="201"/>
      <c r="AKV14" s="201"/>
      <c r="AKW14" s="201"/>
      <c r="AKX14" s="104"/>
      <c r="AKY14" s="104"/>
      <c r="AKZ14" s="202" t="s">
        <v>23</v>
      </c>
      <c r="ALA14" s="202"/>
      <c r="ALB14" s="202"/>
      <c r="ALC14" s="202"/>
      <c r="ALD14" s="129"/>
      <c r="ALE14" s="129"/>
      <c r="ALF14" s="201" t="s">
        <v>34</v>
      </c>
      <c r="ALG14" s="201"/>
      <c r="ALH14" s="201"/>
      <c r="ALI14" s="201"/>
      <c r="ALJ14" s="104"/>
      <c r="ALK14" s="104"/>
      <c r="ALL14" s="202" t="s">
        <v>24</v>
      </c>
      <c r="ALM14" s="202"/>
      <c r="ALN14" s="202"/>
      <c r="ALO14" s="202"/>
      <c r="ALP14" s="129"/>
      <c r="ALQ14" s="129"/>
      <c r="ALR14" s="201" t="s">
        <v>35</v>
      </c>
      <c r="ALS14" s="201"/>
      <c r="ALT14" s="201"/>
      <c r="ALU14" s="201"/>
      <c r="ALV14" s="104"/>
      <c r="ALW14" s="104"/>
      <c r="ALX14" s="202" t="s">
        <v>25</v>
      </c>
      <c r="ALY14" s="202"/>
      <c r="ALZ14" s="202"/>
      <c r="AMA14" s="202"/>
      <c r="AMB14" s="129"/>
      <c r="AMC14" s="129"/>
      <c r="AMD14" s="201" t="s">
        <v>36</v>
      </c>
      <c r="AME14" s="201"/>
      <c r="AMF14" s="201"/>
      <c r="AMG14" s="201"/>
      <c r="AMH14" s="104"/>
      <c r="AMI14" s="104"/>
      <c r="AMJ14" s="104"/>
      <c r="AMK14" s="105"/>
      <c r="AML14" s="103"/>
      <c r="AMM14" s="104"/>
      <c r="AMN14" s="104"/>
      <c r="AMO14" s="104"/>
      <c r="AMP14" s="201" t="s">
        <v>32</v>
      </c>
      <c r="AMQ14" s="201"/>
      <c r="AMR14" s="201"/>
      <c r="AMS14" s="201"/>
      <c r="AMT14" s="104"/>
      <c r="AMU14" s="104"/>
      <c r="AMV14" s="202" t="s">
        <v>22</v>
      </c>
      <c r="AMW14" s="202"/>
      <c r="AMX14" s="202"/>
      <c r="AMY14" s="202"/>
      <c r="AMZ14" s="129"/>
      <c r="ANA14" s="129"/>
      <c r="ANB14" s="201" t="s">
        <v>33</v>
      </c>
      <c r="ANC14" s="201"/>
      <c r="AND14" s="201"/>
      <c r="ANE14" s="201"/>
      <c r="ANF14" s="104"/>
      <c r="ANG14" s="104"/>
      <c r="ANH14" s="202" t="s">
        <v>23</v>
      </c>
      <c r="ANI14" s="202"/>
      <c r="ANJ14" s="202"/>
      <c r="ANK14" s="202"/>
      <c r="ANL14" s="129"/>
      <c r="ANM14" s="129"/>
      <c r="ANN14" s="201" t="s">
        <v>34</v>
      </c>
      <c r="ANO14" s="201"/>
      <c r="ANP14" s="201"/>
      <c r="ANQ14" s="201"/>
      <c r="ANR14" s="104"/>
      <c r="ANS14" s="104"/>
      <c r="ANT14" s="202" t="s">
        <v>24</v>
      </c>
      <c r="ANU14" s="202"/>
      <c r="ANV14" s="202"/>
      <c r="ANW14" s="202"/>
      <c r="ANX14" s="129"/>
      <c r="ANY14" s="129"/>
      <c r="ANZ14" s="201" t="s">
        <v>35</v>
      </c>
      <c r="AOA14" s="201"/>
      <c r="AOB14" s="201"/>
      <c r="AOC14" s="201"/>
      <c r="AOD14" s="104"/>
      <c r="AOE14" s="104"/>
      <c r="AOF14" s="202" t="s">
        <v>25</v>
      </c>
      <c r="AOG14" s="202"/>
      <c r="AOH14" s="202"/>
      <c r="AOI14" s="202"/>
      <c r="AOJ14" s="129"/>
      <c r="AOK14" s="129"/>
      <c r="AOL14" s="201" t="s">
        <v>36</v>
      </c>
      <c r="AOM14" s="201"/>
      <c r="AON14" s="201"/>
      <c r="AOO14" s="201"/>
      <c r="AOP14" s="104"/>
      <c r="AOQ14" s="104"/>
      <c r="AOR14" s="104"/>
      <c r="AOS14" s="105"/>
      <c r="AOT14" s="103"/>
      <c r="AOU14" s="104"/>
      <c r="AOV14" s="104"/>
      <c r="AOW14" s="104"/>
      <c r="AOX14" s="201" t="s">
        <v>32</v>
      </c>
      <c r="AOY14" s="201"/>
      <c r="AOZ14" s="201"/>
      <c r="APA14" s="201"/>
      <c r="APB14" s="104"/>
      <c r="APC14" s="104"/>
      <c r="APD14" s="202" t="s">
        <v>22</v>
      </c>
      <c r="APE14" s="202"/>
      <c r="APF14" s="202"/>
      <c r="APG14" s="202"/>
      <c r="APH14" s="129"/>
      <c r="API14" s="129"/>
      <c r="APJ14" s="201" t="s">
        <v>33</v>
      </c>
      <c r="APK14" s="201"/>
      <c r="APL14" s="201"/>
      <c r="APM14" s="201"/>
      <c r="APN14" s="104"/>
      <c r="APO14" s="104"/>
      <c r="APP14" s="202" t="s">
        <v>23</v>
      </c>
      <c r="APQ14" s="202"/>
      <c r="APR14" s="202"/>
      <c r="APS14" s="202"/>
      <c r="APT14" s="129"/>
      <c r="APU14" s="129"/>
      <c r="APV14" s="201" t="s">
        <v>34</v>
      </c>
      <c r="APW14" s="201"/>
      <c r="APX14" s="201"/>
      <c r="APY14" s="201"/>
      <c r="APZ14" s="104"/>
      <c r="AQA14" s="104"/>
      <c r="AQB14" s="202" t="s">
        <v>24</v>
      </c>
      <c r="AQC14" s="202"/>
      <c r="AQD14" s="202"/>
      <c r="AQE14" s="202"/>
      <c r="AQF14" s="129"/>
      <c r="AQG14" s="129"/>
      <c r="AQH14" s="201" t="s">
        <v>35</v>
      </c>
      <c r="AQI14" s="201"/>
      <c r="AQJ14" s="201"/>
      <c r="AQK14" s="201"/>
      <c r="AQL14" s="104"/>
      <c r="AQM14" s="104"/>
      <c r="AQN14" s="202" t="s">
        <v>25</v>
      </c>
      <c r="AQO14" s="202"/>
      <c r="AQP14" s="202"/>
      <c r="AQQ14" s="202"/>
      <c r="AQR14" s="129"/>
      <c r="AQS14" s="129"/>
      <c r="AQT14" s="201" t="s">
        <v>36</v>
      </c>
      <c r="AQU14" s="201"/>
      <c r="AQV14" s="201"/>
      <c r="AQW14" s="201"/>
      <c r="AQX14" s="104"/>
      <c r="AQY14" s="104"/>
      <c r="AQZ14" s="104"/>
      <c r="ARA14" s="105"/>
      <c r="ARB14" s="103"/>
      <c r="ARC14" s="104"/>
      <c r="ARD14" s="104"/>
      <c r="ARE14" s="104"/>
      <c r="ARF14" s="201" t="s">
        <v>32</v>
      </c>
      <c r="ARG14" s="201"/>
      <c r="ARH14" s="201"/>
      <c r="ARI14" s="201"/>
      <c r="ARJ14" s="104"/>
      <c r="ARK14" s="104"/>
      <c r="ARL14" s="202" t="s">
        <v>22</v>
      </c>
      <c r="ARM14" s="202"/>
      <c r="ARN14" s="202"/>
      <c r="ARO14" s="202"/>
      <c r="ARP14" s="129"/>
      <c r="ARQ14" s="129"/>
      <c r="ARR14" s="201" t="s">
        <v>33</v>
      </c>
      <c r="ARS14" s="201"/>
      <c r="ART14" s="201"/>
      <c r="ARU14" s="201"/>
      <c r="ARV14" s="104"/>
      <c r="ARW14" s="104"/>
      <c r="ARX14" s="202" t="s">
        <v>23</v>
      </c>
      <c r="ARY14" s="202"/>
      <c r="ARZ14" s="202"/>
      <c r="ASA14" s="202"/>
      <c r="ASB14" s="129"/>
      <c r="ASC14" s="129"/>
      <c r="ASD14" s="201" t="s">
        <v>34</v>
      </c>
      <c r="ASE14" s="201"/>
      <c r="ASF14" s="201"/>
      <c r="ASG14" s="201"/>
      <c r="ASH14" s="104"/>
      <c r="ASI14" s="104"/>
      <c r="ASJ14" s="202" t="s">
        <v>24</v>
      </c>
      <c r="ASK14" s="202"/>
      <c r="ASL14" s="202"/>
      <c r="ASM14" s="202"/>
      <c r="ASN14" s="129"/>
      <c r="ASO14" s="129"/>
      <c r="ASP14" s="201" t="s">
        <v>35</v>
      </c>
      <c r="ASQ14" s="201"/>
      <c r="ASR14" s="201"/>
      <c r="ASS14" s="201"/>
      <c r="AST14" s="104"/>
      <c r="ASU14" s="104"/>
      <c r="ASV14" s="202" t="s">
        <v>25</v>
      </c>
      <c r="ASW14" s="202"/>
      <c r="ASX14" s="202"/>
      <c r="ASY14" s="202"/>
      <c r="ASZ14" s="129"/>
      <c r="ATA14" s="129"/>
      <c r="ATB14" s="201" t="s">
        <v>36</v>
      </c>
      <c r="ATC14" s="201"/>
      <c r="ATD14" s="201"/>
      <c r="ATE14" s="201"/>
      <c r="ATF14" s="104"/>
      <c r="ATG14" s="104"/>
      <c r="ATH14" s="104"/>
      <c r="ATI14" s="105"/>
      <c r="ATJ14" s="103"/>
      <c r="ATK14" s="104"/>
      <c r="ATL14" s="104"/>
      <c r="ATM14" s="104"/>
      <c r="ATN14" s="201" t="s">
        <v>32</v>
      </c>
      <c r="ATO14" s="201"/>
      <c r="ATP14" s="201"/>
      <c r="ATQ14" s="201"/>
      <c r="ATR14" s="104"/>
      <c r="ATS14" s="104"/>
      <c r="ATT14" s="202" t="s">
        <v>22</v>
      </c>
      <c r="ATU14" s="202"/>
      <c r="ATV14" s="202"/>
      <c r="ATW14" s="202"/>
      <c r="ATX14" s="129"/>
      <c r="ATY14" s="129"/>
      <c r="ATZ14" s="201" t="s">
        <v>33</v>
      </c>
      <c r="AUA14" s="201"/>
      <c r="AUB14" s="201"/>
      <c r="AUC14" s="201"/>
      <c r="AUD14" s="104"/>
      <c r="AUE14" s="104"/>
      <c r="AUF14" s="202" t="s">
        <v>23</v>
      </c>
      <c r="AUG14" s="202"/>
      <c r="AUH14" s="202"/>
      <c r="AUI14" s="202"/>
      <c r="AUJ14" s="129"/>
      <c r="AUK14" s="129"/>
      <c r="AUL14" s="201" t="s">
        <v>34</v>
      </c>
      <c r="AUM14" s="201"/>
      <c r="AUN14" s="201"/>
      <c r="AUO14" s="201"/>
      <c r="AUP14" s="104"/>
      <c r="AUQ14" s="104"/>
      <c r="AUR14" s="202" t="s">
        <v>24</v>
      </c>
      <c r="AUS14" s="202"/>
      <c r="AUT14" s="202"/>
      <c r="AUU14" s="202"/>
      <c r="AUV14" s="129"/>
      <c r="AUW14" s="129"/>
      <c r="AUX14" s="201" t="s">
        <v>35</v>
      </c>
      <c r="AUY14" s="201"/>
      <c r="AUZ14" s="201"/>
      <c r="AVA14" s="201"/>
      <c r="AVB14" s="104"/>
      <c r="AVC14" s="104"/>
      <c r="AVD14" s="202" t="s">
        <v>25</v>
      </c>
      <c r="AVE14" s="202"/>
      <c r="AVF14" s="202"/>
      <c r="AVG14" s="202"/>
      <c r="AVH14" s="129"/>
      <c r="AVI14" s="129"/>
      <c r="AVJ14" s="201" t="s">
        <v>36</v>
      </c>
      <c r="AVK14" s="201"/>
      <c r="AVL14" s="201"/>
      <c r="AVM14" s="201"/>
      <c r="AVN14" s="104"/>
      <c r="AVO14" s="104"/>
      <c r="AVP14" s="104"/>
      <c r="AVQ14" s="105"/>
      <c r="AVR14" s="103"/>
      <c r="AVS14" s="104"/>
      <c r="AVT14" s="104"/>
      <c r="AVU14" s="104"/>
      <c r="AVV14" s="201" t="s">
        <v>32</v>
      </c>
      <c r="AVW14" s="201"/>
      <c r="AVX14" s="201"/>
      <c r="AVY14" s="201"/>
      <c r="AVZ14" s="104"/>
      <c r="AWA14" s="104"/>
      <c r="AWB14" s="202" t="s">
        <v>22</v>
      </c>
      <c r="AWC14" s="202"/>
      <c r="AWD14" s="202"/>
      <c r="AWE14" s="202"/>
      <c r="AWF14" s="129"/>
      <c r="AWG14" s="129"/>
      <c r="AWH14" s="201" t="s">
        <v>33</v>
      </c>
      <c r="AWI14" s="201"/>
      <c r="AWJ14" s="201"/>
      <c r="AWK14" s="201"/>
      <c r="AWL14" s="104"/>
      <c r="AWM14" s="104"/>
      <c r="AWN14" s="202" t="s">
        <v>23</v>
      </c>
      <c r="AWO14" s="202"/>
      <c r="AWP14" s="202"/>
      <c r="AWQ14" s="202"/>
      <c r="AWR14" s="129"/>
      <c r="AWS14" s="129"/>
      <c r="AWT14" s="201" t="s">
        <v>34</v>
      </c>
      <c r="AWU14" s="201"/>
      <c r="AWV14" s="201"/>
      <c r="AWW14" s="201"/>
      <c r="AWX14" s="104"/>
      <c r="AWY14" s="104"/>
      <c r="AWZ14" s="202" t="s">
        <v>24</v>
      </c>
      <c r="AXA14" s="202"/>
      <c r="AXB14" s="202"/>
      <c r="AXC14" s="202"/>
      <c r="AXD14" s="129"/>
      <c r="AXE14" s="129"/>
      <c r="AXF14" s="201" t="s">
        <v>35</v>
      </c>
      <c r="AXG14" s="201"/>
      <c r="AXH14" s="201"/>
      <c r="AXI14" s="201"/>
      <c r="AXJ14" s="104"/>
      <c r="AXK14" s="104"/>
      <c r="AXL14" s="202" t="s">
        <v>25</v>
      </c>
      <c r="AXM14" s="202"/>
      <c r="AXN14" s="202"/>
      <c r="AXO14" s="202"/>
      <c r="AXP14" s="129"/>
      <c r="AXQ14" s="129"/>
      <c r="AXR14" s="201" t="s">
        <v>36</v>
      </c>
      <c r="AXS14" s="201"/>
      <c r="AXT14" s="201"/>
      <c r="AXU14" s="201"/>
      <c r="AXV14" s="104"/>
      <c r="AXW14" s="104"/>
      <c r="AXX14" s="104"/>
      <c r="AXY14" s="105"/>
      <c r="AXZ14" s="103"/>
      <c r="AYA14" s="104"/>
      <c r="AYB14" s="104"/>
      <c r="AYC14" s="104"/>
      <c r="AYD14" s="201" t="s">
        <v>32</v>
      </c>
      <c r="AYE14" s="201"/>
      <c r="AYF14" s="201"/>
      <c r="AYG14" s="201"/>
      <c r="AYH14" s="104"/>
      <c r="AYI14" s="104"/>
      <c r="AYJ14" s="202" t="s">
        <v>22</v>
      </c>
      <c r="AYK14" s="202"/>
      <c r="AYL14" s="202"/>
      <c r="AYM14" s="202"/>
      <c r="AYN14" s="129"/>
      <c r="AYO14" s="129"/>
      <c r="AYP14" s="201" t="s">
        <v>33</v>
      </c>
      <c r="AYQ14" s="201"/>
      <c r="AYR14" s="201"/>
      <c r="AYS14" s="201"/>
      <c r="AYT14" s="104"/>
      <c r="AYU14" s="104"/>
      <c r="AYV14" s="202" t="s">
        <v>23</v>
      </c>
      <c r="AYW14" s="202"/>
      <c r="AYX14" s="202"/>
      <c r="AYY14" s="202"/>
      <c r="AYZ14" s="129"/>
      <c r="AZA14" s="129"/>
      <c r="AZB14" s="201" t="s">
        <v>34</v>
      </c>
      <c r="AZC14" s="201"/>
      <c r="AZD14" s="201"/>
      <c r="AZE14" s="201"/>
      <c r="AZF14" s="104"/>
      <c r="AZG14" s="104"/>
      <c r="AZH14" s="202" t="s">
        <v>24</v>
      </c>
      <c r="AZI14" s="202"/>
      <c r="AZJ14" s="202"/>
      <c r="AZK14" s="202"/>
      <c r="AZL14" s="129"/>
      <c r="AZM14" s="129"/>
      <c r="AZN14" s="201" t="s">
        <v>35</v>
      </c>
      <c r="AZO14" s="201"/>
      <c r="AZP14" s="201"/>
      <c r="AZQ14" s="201"/>
      <c r="AZR14" s="104"/>
      <c r="AZS14" s="104"/>
      <c r="AZT14" s="202" t="s">
        <v>25</v>
      </c>
      <c r="AZU14" s="202"/>
      <c r="AZV14" s="202"/>
      <c r="AZW14" s="202"/>
      <c r="AZX14" s="129"/>
      <c r="AZY14" s="129"/>
      <c r="AZZ14" s="201" t="s">
        <v>36</v>
      </c>
      <c r="BAA14" s="201"/>
      <c r="BAB14" s="201"/>
      <c r="BAC14" s="201"/>
      <c r="BAD14" s="104"/>
      <c r="BAE14" s="104"/>
      <c r="BAF14" s="104"/>
      <c r="BAG14" s="105"/>
      <c r="BAH14" s="103"/>
      <c r="BAI14" s="104"/>
      <c r="BAJ14" s="104"/>
      <c r="BAK14" s="104"/>
      <c r="BAL14" s="201" t="s">
        <v>32</v>
      </c>
      <c r="BAM14" s="201"/>
      <c r="BAN14" s="201"/>
      <c r="BAO14" s="201"/>
      <c r="BAP14" s="104"/>
      <c r="BAQ14" s="104"/>
      <c r="BAR14" s="202" t="s">
        <v>22</v>
      </c>
      <c r="BAS14" s="202"/>
      <c r="BAT14" s="202"/>
      <c r="BAU14" s="202"/>
      <c r="BAV14" s="129"/>
      <c r="BAW14" s="129"/>
      <c r="BAX14" s="201" t="s">
        <v>33</v>
      </c>
      <c r="BAY14" s="201"/>
      <c r="BAZ14" s="201"/>
      <c r="BBA14" s="201"/>
      <c r="BBB14" s="104"/>
      <c r="BBC14" s="104"/>
      <c r="BBD14" s="202" t="s">
        <v>23</v>
      </c>
      <c r="BBE14" s="202"/>
      <c r="BBF14" s="202"/>
      <c r="BBG14" s="202"/>
      <c r="BBH14" s="129"/>
      <c r="BBI14" s="129"/>
      <c r="BBJ14" s="201" t="s">
        <v>34</v>
      </c>
      <c r="BBK14" s="201"/>
      <c r="BBL14" s="201"/>
      <c r="BBM14" s="201"/>
      <c r="BBN14" s="104"/>
      <c r="BBO14" s="104"/>
      <c r="BBP14" s="202" t="s">
        <v>24</v>
      </c>
      <c r="BBQ14" s="202"/>
      <c r="BBR14" s="202"/>
      <c r="BBS14" s="202"/>
      <c r="BBT14" s="129"/>
      <c r="BBU14" s="129"/>
      <c r="BBV14" s="201" t="s">
        <v>35</v>
      </c>
      <c r="BBW14" s="201"/>
      <c r="BBX14" s="201"/>
      <c r="BBY14" s="201"/>
      <c r="BBZ14" s="104"/>
      <c r="BCA14" s="104"/>
      <c r="BCB14" s="202" t="s">
        <v>25</v>
      </c>
      <c r="BCC14" s="202"/>
      <c r="BCD14" s="202"/>
      <c r="BCE14" s="202"/>
      <c r="BCF14" s="129"/>
      <c r="BCG14" s="129"/>
      <c r="BCH14" s="201" t="s">
        <v>36</v>
      </c>
      <c r="BCI14" s="201"/>
      <c r="BCJ14" s="201"/>
      <c r="BCK14" s="201"/>
      <c r="BCL14" s="104"/>
      <c r="BCM14" s="104"/>
      <c r="BCN14" s="104"/>
      <c r="BCO14" s="105"/>
      <c r="BCP14" s="103"/>
      <c r="BCQ14" s="104"/>
      <c r="BCR14" s="104"/>
      <c r="BCS14" s="104"/>
      <c r="BCT14" s="201" t="s">
        <v>32</v>
      </c>
      <c r="BCU14" s="201"/>
      <c r="BCV14" s="201"/>
      <c r="BCW14" s="201"/>
      <c r="BCX14" s="104"/>
      <c r="BCY14" s="104"/>
      <c r="BCZ14" s="202" t="s">
        <v>22</v>
      </c>
      <c r="BDA14" s="202"/>
      <c r="BDB14" s="202"/>
      <c r="BDC14" s="202"/>
      <c r="BDD14" s="129"/>
      <c r="BDE14" s="129"/>
      <c r="BDF14" s="201" t="s">
        <v>33</v>
      </c>
      <c r="BDG14" s="201"/>
      <c r="BDH14" s="201"/>
      <c r="BDI14" s="201"/>
      <c r="BDJ14" s="104"/>
      <c r="BDK14" s="104"/>
      <c r="BDL14" s="202" t="s">
        <v>23</v>
      </c>
      <c r="BDM14" s="202"/>
      <c r="BDN14" s="202"/>
      <c r="BDO14" s="202"/>
      <c r="BDP14" s="129"/>
      <c r="BDQ14" s="129"/>
      <c r="BDR14" s="201" t="s">
        <v>34</v>
      </c>
      <c r="BDS14" s="201"/>
      <c r="BDT14" s="201"/>
      <c r="BDU14" s="201"/>
      <c r="BDV14" s="104"/>
      <c r="BDW14" s="104"/>
      <c r="BDX14" s="202" t="s">
        <v>24</v>
      </c>
      <c r="BDY14" s="202"/>
      <c r="BDZ14" s="202"/>
      <c r="BEA14" s="202"/>
      <c r="BEB14" s="129"/>
      <c r="BEC14" s="129"/>
      <c r="BED14" s="201" t="s">
        <v>35</v>
      </c>
      <c r="BEE14" s="201"/>
      <c r="BEF14" s="201"/>
      <c r="BEG14" s="201"/>
      <c r="BEH14" s="104"/>
      <c r="BEI14" s="104"/>
      <c r="BEJ14" s="202" t="s">
        <v>25</v>
      </c>
      <c r="BEK14" s="202"/>
      <c r="BEL14" s="202"/>
      <c r="BEM14" s="202"/>
      <c r="BEN14" s="129"/>
      <c r="BEO14" s="129"/>
      <c r="BEP14" s="201" t="s">
        <v>36</v>
      </c>
      <c r="BEQ14" s="201"/>
      <c r="BER14" s="201"/>
      <c r="BES14" s="201"/>
      <c r="BET14" s="104"/>
      <c r="BEU14" s="104"/>
      <c r="BEV14" s="104"/>
      <c r="BEW14" s="105"/>
      <c r="BEX14" s="103"/>
      <c r="BEY14" s="104"/>
      <c r="BEZ14" s="104"/>
      <c r="BFA14" s="104"/>
      <c r="BFB14" s="201" t="s">
        <v>32</v>
      </c>
      <c r="BFC14" s="201"/>
      <c r="BFD14" s="201"/>
      <c r="BFE14" s="201"/>
      <c r="BFF14" s="104"/>
      <c r="BFG14" s="104"/>
      <c r="BFH14" s="202" t="s">
        <v>22</v>
      </c>
      <c r="BFI14" s="202"/>
      <c r="BFJ14" s="202"/>
      <c r="BFK14" s="202"/>
      <c r="BFL14" s="129"/>
      <c r="BFM14" s="129"/>
      <c r="BFN14" s="201" t="s">
        <v>33</v>
      </c>
      <c r="BFO14" s="201"/>
      <c r="BFP14" s="201"/>
      <c r="BFQ14" s="201"/>
      <c r="BFR14" s="104"/>
      <c r="BFS14" s="104"/>
      <c r="BFT14" s="202" t="s">
        <v>23</v>
      </c>
      <c r="BFU14" s="202"/>
      <c r="BFV14" s="202"/>
      <c r="BFW14" s="202"/>
      <c r="BFX14" s="129"/>
      <c r="BFY14" s="129"/>
      <c r="BFZ14" s="201" t="s">
        <v>34</v>
      </c>
      <c r="BGA14" s="201"/>
      <c r="BGB14" s="201"/>
      <c r="BGC14" s="201"/>
      <c r="BGD14" s="104"/>
      <c r="BGE14" s="104"/>
      <c r="BGF14" s="202" t="s">
        <v>24</v>
      </c>
      <c r="BGG14" s="202"/>
      <c r="BGH14" s="202"/>
      <c r="BGI14" s="202"/>
      <c r="BGJ14" s="129"/>
      <c r="BGK14" s="129"/>
      <c r="BGL14" s="201" t="s">
        <v>35</v>
      </c>
      <c r="BGM14" s="201"/>
      <c r="BGN14" s="201"/>
      <c r="BGO14" s="201"/>
      <c r="BGP14" s="104"/>
      <c r="BGQ14" s="104"/>
      <c r="BGR14" s="202" t="s">
        <v>25</v>
      </c>
      <c r="BGS14" s="202"/>
      <c r="BGT14" s="202"/>
      <c r="BGU14" s="202"/>
      <c r="BGV14" s="129"/>
      <c r="BGW14" s="129"/>
      <c r="BGX14" s="201" t="s">
        <v>36</v>
      </c>
      <c r="BGY14" s="201"/>
      <c r="BGZ14" s="201"/>
      <c r="BHA14" s="201"/>
      <c r="BHB14" s="104"/>
      <c r="BHC14" s="104"/>
      <c r="BHD14" s="104"/>
      <c r="BHE14" s="105"/>
      <c r="BHF14" s="103"/>
      <c r="BHG14" s="104"/>
      <c r="BHH14" s="104"/>
      <c r="BHI14" s="104"/>
      <c r="BHJ14" s="201" t="s">
        <v>32</v>
      </c>
      <c r="BHK14" s="201"/>
      <c r="BHL14" s="201"/>
      <c r="BHM14" s="201"/>
      <c r="BHN14" s="104"/>
      <c r="BHO14" s="104"/>
      <c r="BHP14" s="202" t="s">
        <v>22</v>
      </c>
      <c r="BHQ14" s="202"/>
      <c r="BHR14" s="202"/>
      <c r="BHS14" s="202"/>
      <c r="BHT14" s="129"/>
      <c r="BHU14" s="129"/>
      <c r="BHV14" s="201" t="s">
        <v>33</v>
      </c>
      <c r="BHW14" s="201"/>
      <c r="BHX14" s="201"/>
      <c r="BHY14" s="201"/>
      <c r="BHZ14" s="104"/>
      <c r="BIA14" s="104"/>
      <c r="BIB14" s="202" t="s">
        <v>23</v>
      </c>
      <c r="BIC14" s="202"/>
      <c r="BID14" s="202"/>
      <c r="BIE14" s="202"/>
      <c r="BIF14" s="129"/>
      <c r="BIG14" s="129"/>
      <c r="BIH14" s="201" t="s">
        <v>34</v>
      </c>
      <c r="BII14" s="201"/>
      <c r="BIJ14" s="201"/>
      <c r="BIK14" s="201"/>
      <c r="BIL14" s="104"/>
      <c r="BIM14" s="104"/>
      <c r="BIN14" s="202" t="s">
        <v>24</v>
      </c>
      <c r="BIO14" s="202"/>
      <c r="BIP14" s="202"/>
      <c r="BIQ14" s="202"/>
      <c r="BIR14" s="129"/>
      <c r="BIS14" s="129"/>
      <c r="BIT14" s="201" t="s">
        <v>35</v>
      </c>
      <c r="BIU14" s="201"/>
      <c r="BIV14" s="201"/>
      <c r="BIW14" s="201"/>
      <c r="BIX14" s="104"/>
      <c r="BIY14" s="104"/>
      <c r="BIZ14" s="202" t="s">
        <v>25</v>
      </c>
      <c r="BJA14" s="202"/>
      <c r="BJB14" s="202"/>
      <c r="BJC14" s="202"/>
      <c r="BJD14" s="129"/>
      <c r="BJE14" s="129"/>
      <c r="BJF14" s="201" t="s">
        <v>36</v>
      </c>
      <c r="BJG14" s="201"/>
      <c r="BJH14" s="201"/>
      <c r="BJI14" s="201"/>
      <c r="BJJ14" s="104"/>
      <c r="BJK14" s="104"/>
      <c r="BJL14" s="104"/>
      <c r="BJM14" s="105"/>
      <c r="BJN14" s="90"/>
    </row>
    <row r="15" spans="1:1626" ht="20.100000000000001" customHeight="1" x14ac:dyDescent="0.25">
      <c r="A15" s="100" t="s">
        <v>18</v>
      </c>
      <c r="B15" s="63" t="str">
        <f>IF(LEN(C15)=0,"",C15)</f>
        <v xml:space="preserve">Absences - Imprévus </v>
      </c>
      <c r="C15" s="207" t="s">
        <v>39</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24"/>
      <c r="BHG15" s="68"/>
      <c r="BHH15" s="68"/>
      <c r="BHI15" s="68"/>
      <c r="BHJ15" s="25"/>
      <c r="BHK15" s="130"/>
      <c r="BHL15" s="25"/>
      <c r="BHM15" s="25"/>
      <c r="BHN15" s="25"/>
      <c r="BHO15" s="25"/>
      <c r="BHP15" s="25"/>
      <c r="BHQ15" s="135"/>
      <c r="BHR15" s="25"/>
      <c r="BHS15" s="25"/>
      <c r="BHT15" s="25"/>
      <c r="BHU15" s="25"/>
      <c r="BHV15" s="25"/>
      <c r="BHW15" s="72"/>
      <c r="BHX15" s="25"/>
      <c r="BHY15" s="25"/>
      <c r="BHZ15" s="25"/>
      <c r="BIA15" s="25"/>
      <c r="BIB15" s="25"/>
      <c r="BIC15" s="135"/>
      <c r="BID15" s="25"/>
      <c r="BIE15" s="25"/>
      <c r="BIF15" s="25"/>
      <c r="BIG15" s="25"/>
      <c r="BIH15" s="25"/>
      <c r="BII15" s="72"/>
      <c r="BIJ15" s="68"/>
      <c r="BIK15" s="68"/>
      <c r="BIL15" s="68"/>
      <c r="BIM15" s="68"/>
      <c r="BIN15" s="25"/>
      <c r="BIO15" s="135"/>
      <c r="BIP15" s="25"/>
      <c r="BIQ15" s="25"/>
      <c r="BIR15" s="25"/>
      <c r="BIS15" s="25"/>
      <c r="BIT15" s="25"/>
      <c r="BIU15" s="72"/>
      <c r="BIV15" s="25"/>
      <c r="BIW15" s="25"/>
      <c r="BIX15" s="25"/>
      <c r="BIY15" s="25"/>
      <c r="BIZ15" s="25"/>
      <c r="BJA15" s="135"/>
      <c r="BJB15" s="25"/>
      <c r="BJC15" s="25"/>
      <c r="BJD15" s="25"/>
      <c r="BJE15" s="25"/>
      <c r="BJF15" s="25"/>
      <c r="BJG15" s="72"/>
      <c r="BJH15" s="25"/>
      <c r="BJI15" s="25"/>
      <c r="BJJ15" s="25"/>
      <c r="BJK15" s="25"/>
      <c r="BJL15" s="25"/>
      <c r="BJM15" s="26"/>
      <c r="BJN15" s="90"/>
    </row>
    <row r="16" spans="1:1626" ht="20.100000000000001" customHeight="1" x14ac:dyDescent="0.25">
      <c r="A16" s="100" t="s">
        <v>19</v>
      </c>
      <c r="B16" s="63" t="str">
        <f>IF(LEN(C17)=0,"",C17)</f>
        <v>Doc - Planification initiale</v>
      </c>
      <c r="C16" s="208"/>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28"/>
      <c r="BHG16" s="67"/>
      <c r="BHH16" s="67"/>
      <c r="BHI16" s="67"/>
      <c r="BHJ16" s="29"/>
      <c r="BHK16" s="131"/>
      <c r="BHL16" s="29"/>
      <c r="BHM16" s="29"/>
      <c r="BHN16" s="29"/>
      <c r="BHO16" s="29"/>
      <c r="BHP16" s="29"/>
      <c r="BHQ16" s="136"/>
      <c r="BHR16" s="29"/>
      <c r="BHS16" s="29"/>
      <c r="BHT16" s="29"/>
      <c r="BHU16" s="29"/>
      <c r="BHV16" s="29"/>
      <c r="BHW16" s="73"/>
      <c r="BHX16" s="29"/>
      <c r="BHY16" s="29"/>
      <c r="BHZ16" s="29"/>
      <c r="BIA16" s="29"/>
      <c r="BIB16" s="29"/>
      <c r="BIC16" s="136"/>
      <c r="BID16" s="29"/>
      <c r="BIE16" s="29"/>
      <c r="BIF16" s="29"/>
      <c r="BIG16" s="29"/>
      <c r="BIH16" s="29"/>
      <c r="BII16" s="73"/>
      <c r="BIJ16" s="67"/>
      <c r="BIK16" s="67"/>
      <c r="BIL16" s="67"/>
      <c r="BIM16" s="67"/>
      <c r="BIN16" s="29"/>
      <c r="BIO16" s="136"/>
      <c r="BIP16" s="29"/>
      <c r="BIQ16" s="29"/>
      <c r="BIR16" s="29"/>
      <c r="BIS16" s="29"/>
      <c r="BIT16" s="29"/>
      <c r="BIU16" s="73"/>
      <c r="BIV16" s="29"/>
      <c r="BIW16" s="29"/>
      <c r="BIX16" s="29"/>
      <c r="BIY16" s="29"/>
      <c r="BIZ16" s="29"/>
      <c r="BJA16" s="136"/>
      <c r="BJB16" s="29"/>
      <c r="BJC16" s="29"/>
      <c r="BJD16" s="29"/>
      <c r="BJE16" s="29"/>
      <c r="BJF16" s="29"/>
      <c r="BJG16" s="73"/>
      <c r="BJH16" s="29"/>
      <c r="BJI16" s="29"/>
      <c r="BJJ16" s="29"/>
      <c r="BJK16" s="29"/>
      <c r="BJL16" s="29"/>
      <c r="BJM16" s="30"/>
      <c r="BJN16" s="90"/>
    </row>
    <row r="17" spans="1:1626" ht="20.100000000000001" customHeight="1" x14ac:dyDescent="0.25">
      <c r="A17" s="100" t="s">
        <v>18</v>
      </c>
      <c r="B17" s="63" t="str">
        <f>IF(LEN(C19)=0,"",C19)</f>
        <v>Doc - Journal de travail</v>
      </c>
      <c r="C17" s="207" t="s">
        <v>40</v>
      </c>
      <c r="D17" s="146" t="str">
        <f t="shared" si="0"/>
        <v>1h30min</v>
      </c>
      <c r="E17" s="31">
        <v>18</v>
      </c>
      <c r="F17" s="32"/>
      <c r="G17" s="64"/>
      <c r="H17" s="64"/>
      <c r="I17" s="64"/>
      <c r="J17" s="33"/>
      <c r="K17" s="132"/>
      <c r="L17" s="33"/>
      <c r="M17" s="33"/>
      <c r="N17" s="33"/>
      <c r="O17" s="33"/>
      <c r="P17" s="33"/>
      <c r="Q17" s="137"/>
      <c r="R17" s="33"/>
      <c r="S17" s="33"/>
      <c r="T17" s="33"/>
      <c r="U17" s="33"/>
      <c r="V17" s="33"/>
      <c r="W17" s="74"/>
      <c r="X17" s="33"/>
      <c r="Y17" s="33"/>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171"/>
      <c r="DC17" s="176"/>
      <c r="DD17" s="171"/>
      <c r="DE17" s="171"/>
      <c r="DF17" s="171"/>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73"/>
      <c r="ET17" s="171"/>
      <c r="EU17" s="171"/>
      <c r="EV17" s="171"/>
      <c r="EW17" s="171"/>
      <c r="EX17" s="171"/>
      <c r="EY17" s="176"/>
      <c r="EZ17" s="170"/>
      <c r="FA17" s="170"/>
      <c r="FB17" s="170"/>
      <c r="FC17" s="170"/>
      <c r="FD17" s="171"/>
      <c r="FE17" s="173"/>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32"/>
      <c r="BHG17" s="64"/>
      <c r="BHH17" s="64"/>
      <c r="BHI17" s="64"/>
      <c r="BHJ17" s="33"/>
      <c r="BHK17" s="132"/>
      <c r="BHL17" s="33"/>
      <c r="BHM17" s="33"/>
      <c r="BHN17" s="33"/>
      <c r="BHO17" s="33"/>
      <c r="BHP17" s="33"/>
      <c r="BHQ17" s="137"/>
      <c r="BHR17" s="33"/>
      <c r="BHS17" s="33"/>
      <c r="BHT17" s="33"/>
      <c r="BHU17" s="33"/>
      <c r="BHV17" s="33"/>
      <c r="BHW17" s="74"/>
      <c r="BHX17" s="33"/>
      <c r="BHY17" s="33"/>
      <c r="BHZ17" s="33"/>
      <c r="BIA17" s="33"/>
      <c r="BIB17" s="33"/>
      <c r="BIC17" s="137"/>
      <c r="BID17" s="33"/>
      <c r="BIE17" s="33"/>
      <c r="BIF17" s="33"/>
      <c r="BIG17" s="33"/>
      <c r="BIH17" s="33"/>
      <c r="BII17" s="74"/>
      <c r="BIJ17" s="64"/>
      <c r="BIK17" s="64"/>
      <c r="BIL17" s="64"/>
      <c r="BIM17" s="64"/>
      <c r="BIN17" s="33"/>
      <c r="BIO17" s="137"/>
      <c r="BIP17" s="33"/>
      <c r="BIQ17" s="33"/>
      <c r="BIR17" s="33"/>
      <c r="BIS17" s="33"/>
      <c r="BIT17" s="33"/>
      <c r="BIU17" s="74"/>
      <c r="BIV17" s="33"/>
      <c r="BIW17" s="33"/>
      <c r="BIX17" s="33"/>
      <c r="BIY17" s="33"/>
      <c r="BIZ17" s="33"/>
      <c r="BJA17" s="137"/>
      <c r="BJB17" s="33"/>
      <c r="BJC17" s="33"/>
      <c r="BJD17" s="33"/>
      <c r="BJE17" s="33"/>
      <c r="BJF17" s="33"/>
      <c r="BJG17" s="74"/>
      <c r="BJH17" s="33"/>
      <c r="BJI17" s="33"/>
      <c r="BJJ17" s="33"/>
      <c r="BJK17" s="33"/>
      <c r="BJL17" s="33"/>
      <c r="BJM17" s="34"/>
      <c r="BJN17" s="90"/>
    </row>
    <row r="18" spans="1:1626" ht="20.100000000000001" customHeight="1" x14ac:dyDescent="0.3">
      <c r="A18" s="100" t="s">
        <v>19</v>
      </c>
      <c r="B18" s="63" t="str">
        <f>IF(LEN(C21)=0,"",C21)</f>
        <v>Doc - Rapport</v>
      </c>
      <c r="C18" s="208"/>
      <c r="D18" s="148" t="str">
        <f t="shared" si="0"/>
        <v>1h30min</v>
      </c>
      <c r="E18" s="35">
        <v>18</v>
      </c>
      <c r="F18" s="36"/>
      <c r="G18" s="65"/>
      <c r="H18" s="65"/>
      <c r="I18" s="65"/>
      <c r="J18" s="37"/>
      <c r="K18" s="133"/>
      <c r="L18" s="37"/>
      <c r="M18" s="37"/>
      <c r="N18" s="37"/>
      <c r="O18" s="37"/>
      <c r="P18" s="37"/>
      <c r="Q18" s="138"/>
      <c r="R18" s="37"/>
      <c r="S18" s="37"/>
      <c r="T18" s="37"/>
      <c r="U18" s="37"/>
      <c r="V18" s="37"/>
      <c r="W18" s="75"/>
      <c r="X18" s="37"/>
      <c r="Y18" s="37"/>
      <c r="Z18" s="37"/>
      <c r="AA18" s="37"/>
      <c r="AB18" s="37"/>
      <c r="AC18" s="138"/>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36"/>
      <c r="BO18" s="65"/>
      <c r="BP18" s="65"/>
      <c r="BQ18" s="65"/>
      <c r="BR18" s="37"/>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184"/>
      <c r="DC18" s="187"/>
      <c r="DD18" s="184"/>
      <c r="DE18" s="184"/>
      <c r="DF18" s="184"/>
      <c r="DG18" s="37"/>
      <c r="DH18" s="37"/>
      <c r="DI18" s="138"/>
      <c r="DJ18" s="37"/>
      <c r="DK18" s="37"/>
      <c r="DL18" s="37"/>
      <c r="DM18" s="37"/>
      <c r="DN18" s="37"/>
      <c r="DO18" s="75"/>
      <c r="DP18" s="37"/>
      <c r="DQ18" s="37"/>
      <c r="DR18" s="37"/>
      <c r="DS18" s="37"/>
      <c r="DT18" s="37"/>
      <c r="DU18" s="38"/>
      <c r="DV18" s="182"/>
      <c r="DW18" s="183"/>
      <c r="DX18" s="183"/>
      <c r="DY18" s="183"/>
      <c r="DZ18" s="184"/>
      <c r="EA18" s="185"/>
      <c r="EB18" s="184"/>
      <c r="EC18" s="184"/>
      <c r="ED18" s="184"/>
      <c r="EE18" s="184"/>
      <c r="EF18" s="184"/>
      <c r="EG18" s="186"/>
      <c r="EH18" s="184"/>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36"/>
      <c r="BHG18" s="65"/>
      <c r="BHH18" s="65"/>
      <c r="BHI18" s="65"/>
      <c r="BHJ18" s="37"/>
      <c r="BHK18" s="133"/>
      <c r="BHL18" s="37"/>
      <c r="BHM18" s="37"/>
      <c r="BHN18" s="37"/>
      <c r="BHO18" s="37"/>
      <c r="BHP18" s="37"/>
      <c r="BHQ18" s="138"/>
      <c r="BHR18" s="37"/>
      <c r="BHS18" s="37"/>
      <c r="BHT18" s="37"/>
      <c r="BHU18" s="37"/>
      <c r="BHV18" s="37"/>
      <c r="BHW18" s="75"/>
      <c r="BHX18" s="37"/>
      <c r="BHY18" s="37"/>
      <c r="BHZ18" s="37"/>
      <c r="BIA18" s="37"/>
      <c r="BIB18" s="37"/>
      <c r="BIC18" s="138"/>
      <c r="BID18" s="37"/>
      <c r="BIE18" s="37"/>
      <c r="BIF18" s="37"/>
      <c r="BIG18" s="37"/>
      <c r="BIH18" s="37"/>
      <c r="BII18" s="75"/>
      <c r="BIJ18" s="65"/>
      <c r="BIK18" s="65"/>
      <c r="BIL18" s="65"/>
      <c r="BIM18" s="65"/>
      <c r="BIN18" s="37"/>
      <c r="BIO18" s="138"/>
      <c r="BIP18" s="37"/>
      <c r="BIQ18" s="37"/>
      <c r="BIR18" s="37"/>
      <c r="BIS18" s="37"/>
      <c r="BIT18" s="37"/>
      <c r="BIU18" s="75"/>
      <c r="BIV18" s="37"/>
      <c r="BIW18" s="37"/>
      <c r="BIX18" s="37"/>
      <c r="BIY18" s="37"/>
      <c r="BIZ18" s="37"/>
      <c r="BJA18" s="138"/>
      <c r="BJB18" s="37"/>
      <c r="BJC18" s="37"/>
      <c r="BJD18" s="37"/>
      <c r="BJE18" s="37"/>
      <c r="BJF18" s="37"/>
      <c r="BJG18" s="75"/>
      <c r="BJH18" s="37"/>
      <c r="BJI18" s="37"/>
      <c r="BJJ18" s="37"/>
      <c r="BJK18" s="37"/>
      <c r="BJL18" s="37"/>
      <c r="BJM18" s="38"/>
      <c r="BJN18" s="90"/>
    </row>
    <row r="19" spans="1:1626" ht="20.100000000000001" customHeight="1" x14ac:dyDescent="0.25">
      <c r="A19" s="100" t="s">
        <v>18</v>
      </c>
      <c r="B19" s="63" t="str">
        <f>IF(LEN(C23)=0,"",C23)</f>
        <v>Doc - Maquettes</v>
      </c>
      <c r="C19" s="207" t="s">
        <v>15</v>
      </c>
      <c r="D19" s="146" t="str">
        <f t="shared" si="0"/>
        <v>4h10min</v>
      </c>
      <c r="E19" s="39">
        <v>50</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174"/>
      <c r="EP19" s="174"/>
      <c r="EQ19" s="174"/>
      <c r="ER19" s="174"/>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179"/>
      <c r="JR19" s="179"/>
      <c r="JS19" s="179"/>
      <c r="JT19" s="174"/>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174"/>
      <c r="OC19" s="174"/>
      <c r="OD19" s="174"/>
      <c r="OE19" s="175"/>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178"/>
      <c r="UA19" s="179"/>
      <c r="UB19" s="179"/>
      <c r="UC19" s="179"/>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178"/>
      <c r="YQ19" s="179"/>
      <c r="YR19" s="179"/>
      <c r="YS19" s="179"/>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178"/>
      <c r="ADG19" s="179"/>
      <c r="ADH19" s="179"/>
      <c r="ADI19" s="179"/>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178"/>
      <c r="AFO19" s="179"/>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178"/>
      <c r="AKE19" s="179"/>
      <c r="AKF19" s="179"/>
      <c r="AKG19" s="179"/>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178"/>
      <c r="AOU19" s="179"/>
      <c r="AOV19" s="179"/>
      <c r="AOW19" s="179"/>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178"/>
      <c r="ATK19" s="179"/>
      <c r="ATL19" s="179"/>
      <c r="ATM19" s="179"/>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178"/>
      <c r="AVS19" s="179"/>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178"/>
      <c r="BAI19" s="179"/>
      <c r="BAJ19" s="179"/>
      <c r="BAK19" s="179"/>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178"/>
      <c r="BCQ19" s="179"/>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178"/>
      <c r="BHG19" s="179"/>
      <c r="BHH19" s="179"/>
      <c r="BHI19" s="179"/>
      <c r="BHJ19" s="41"/>
      <c r="BHK19" s="134"/>
      <c r="BHL19" s="41"/>
      <c r="BHM19" s="41"/>
      <c r="BHN19" s="41"/>
      <c r="BHO19" s="41"/>
      <c r="BHP19" s="41"/>
      <c r="BHQ19" s="139"/>
      <c r="BHR19" s="41"/>
      <c r="BHS19" s="41"/>
      <c r="BHT19" s="41"/>
      <c r="BHU19" s="41"/>
      <c r="BHV19" s="41"/>
      <c r="BHW19" s="76"/>
      <c r="BHX19" s="41"/>
      <c r="BHY19" s="41"/>
      <c r="BHZ19" s="41"/>
      <c r="BIA19" s="41"/>
      <c r="BIB19" s="41"/>
      <c r="BIC19" s="139"/>
      <c r="BID19" s="41"/>
      <c r="BIE19" s="41"/>
      <c r="BIF19" s="41"/>
      <c r="BIG19" s="41"/>
      <c r="BIH19" s="41"/>
      <c r="BII19" s="76"/>
      <c r="BIJ19" s="66"/>
      <c r="BIK19" s="66"/>
      <c r="BIL19" s="66"/>
      <c r="BIM19" s="66"/>
      <c r="BIN19" s="41"/>
      <c r="BIO19" s="139"/>
      <c r="BIP19" s="41"/>
      <c r="BIQ19" s="41"/>
      <c r="BIR19" s="41"/>
      <c r="BIS19" s="41"/>
      <c r="BIT19" s="41"/>
      <c r="BIU19" s="76"/>
      <c r="BIV19" s="41"/>
      <c r="BIW19" s="41"/>
      <c r="BIX19" s="41"/>
      <c r="BIY19" s="41"/>
      <c r="BIZ19" s="41"/>
      <c r="BJA19" s="139"/>
      <c r="BJB19" s="41"/>
      <c r="BJC19" s="41"/>
      <c r="BJD19" s="41"/>
      <c r="BJE19" s="41"/>
      <c r="BJF19" s="41"/>
      <c r="BJG19" s="76"/>
      <c r="BJH19" s="41"/>
      <c r="BJI19" s="41"/>
      <c r="BJJ19" s="41"/>
      <c r="BJK19" s="41"/>
      <c r="BJL19" s="41"/>
      <c r="BJM19" s="42"/>
      <c r="BJN19" s="90"/>
    </row>
    <row r="20" spans="1:1626" ht="20.100000000000001" customHeight="1" x14ac:dyDescent="0.25">
      <c r="A20" s="100" t="s">
        <v>19</v>
      </c>
      <c r="B20" s="63" t="str">
        <f>IF(LEN(C25)=0,"",C25)</f>
        <v>Doc - Entretien avec les experts / chef de projet</v>
      </c>
      <c r="C20" s="209"/>
      <c r="D20" s="147" t="str">
        <f t="shared" si="0"/>
        <v>1h30min</v>
      </c>
      <c r="E20" s="27">
        <v>18</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188"/>
      <c r="EO20" s="188"/>
      <c r="EP20" s="188"/>
      <c r="EQ20" s="188"/>
      <c r="ER20" s="188"/>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188"/>
      <c r="JL20" s="188"/>
      <c r="JM20" s="188"/>
      <c r="JN20" s="188"/>
      <c r="JO20" s="187"/>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188"/>
      <c r="NW20" s="188"/>
      <c r="NX20" s="188"/>
      <c r="NY20" s="189"/>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191"/>
      <c r="VE20" s="191"/>
      <c r="VF20" s="191"/>
      <c r="VG20" s="191"/>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28"/>
      <c r="BHG20" s="67"/>
      <c r="BHH20" s="67"/>
      <c r="BHI20" s="67"/>
      <c r="BHJ20" s="29"/>
      <c r="BHK20" s="131"/>
      <c r="BHL20" s="29"/>
      <c r="BHM20" s="29"/>
      <c r="BHN20" s="29"/>
      <c r="BHO20" s="29"/>
      <c r="BHP20" s="29"/>
      <c r="BHQ20" s="136"/>
      <c r="BHR20" s="29"/>
      <c r="BHS20" s="29"/>
      <c r="BHT20" s="29"/>
      <c r="BHU20" s="29"/>
      <c r="BHV20" s="29"/>
      <c r="BHW20" s="75"/>
      <c r="BHX20" s="29"/>
      <c r="BHY20" s="29"/>
      <c r="BHZ20" s="29"/>
      <c r="BIA20" s="29"/>
      <c r="BIB20" s="29"/>
      <c r="BIC20" s="136"/>
      <c r="BID20" s="29"/>
      <c r="BIE20" s="29"/>
      <c r="BIF20" s="29"/>
      <c r="BIG20" s="29"/>
      <c r="BIH20" s="29"/>
      <c r="BII20" s="75"/>
      <c r="BIJ20" s="67"/>
      <c r="BIK20" s="67"/>
      <c r="BIL20" s="67"/>
      <c r="BIM20" s="67"/>
      <c r="BIN20" s="29"/>
      <c r="BIO20" s="136"/>
      <c r="BIP20" s="29"/>
      <c r="BIQ20" s="29"/>
      <c r="BIR20" s="29"/>
      <c r="BIS20" s="29"/>
      <c r="BIT20" s="37"/>
      <c r="BIU20" s="75"/>
      <c r="BIV20" s="29"/>
      <c r="BIW20" s="29"/>
      <c r="BIX20" s="29"/>
      <c r="BIY20" s="29"/>
      <c r="BIZ20" s="29"/>
      <c r="BJA20" s="136"/>
      <c r="BJB20" s="29"/>
      <c r="BJC20" s="29"/>
      <c r="BJD20" s="29"/>
      <c r="BJE20" s="29"/>
      <c r="BJF20" s="29"/>
      <c r="BJG20" s="75"/>
      <c r="BJH20" s="29"/>
      <c r="BJI20" s="29"/>
      <c r="BJJ20" s="29"/>
      <c r="BJK20" s="29"/>
      <c r="BJL20" s="29"/>
      <c r="BJM20" s="30"/>
      <c r="BJN20" s="90"/>
    </row>
    <row r="21" spans="1:1626" ht="20.100000000000001" customHeight="1" x14ac:dyDescent="0.25">
      <c r="A21" s="100" t="s">
        <v>18</v>
      </c>
      <c r="B21" s="63" t="str">
        <f>IF(LEN(C27)=0,"",C27)</f>
        <v>Doc - Base de données</v>
      </c>
      <c r="C21" s="207" t="s">
        <v>14</v>
      </c>
      <c r="D21" s="146" t="str">
        <f t="shared" si="0"/>
        <v>18h40min</v>
      </c>
      <c r="E21" s="31">
        <v>224</v>
      </c>
      <c r="F21" s="32"/>
      <c r="G21" s="64"/>
      <c r="H21" s="64"/>
      <c r="I21" s="64"/>
      <c r="J21" s="33"/>
      <c r="K21" s="132"/>
      <c r="L21" s="33"/>
      <c r="M21" s="33"/>
      <c r="N21" s="33"/>
      <c r="O21" s="33"/>
      <c r="P21" s="33"/>
      <c r="Q21" s="137"/>
      <c r="R21" s="33"/>
      <c r="S21" s="33"/>
      <c r="T21" s="33"/>
      <c r="U21" s="171"/>
      <c r="V21" s="171"/>
      <c r="W21" s="176"/>
      <c r="X21" s="171"/>
      <c r="Y21" s="171"/>
      <c r="Z21" s="171"/>
      <c r="AA21" s="171"/>
      <c r="AB21" s="171"/>
      <c r="AC21" s="173"/>
      <c r="AD21" s="171"/>
      <c r="AE21" s="171"/>
      <c r="AF21" s="171"/>
      <c r="AG21" s="171"/>
      <c r="AH21" s="171"/>
      <c r="AI21" s="176"/>
      <c r="AJ21" s="170"/>
      <c r="AK21" s="170"/>
      <c r="AL21" s="170"/>
      <c r="AM21" s="170"/>
      <c r="AN21" s="171"/>
      <c r="AO21" s="173"/>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171"/>
      <c r="CQ21" s="176"/>
      <c r="CR21" s="170"/>
      <c r="CS21" s="170"/>
      <c r="CT21" s="170"/>
      <c r="CU21" s="170"/>
      <c r="CV21" s="171"/>
      <c r="CW21" s="173"/>
      <c r="CX21" s="171"/>
      <c r="CY21" s="171"/>
      <c r="CZ21" s="171"/>
      <c r="DA21" s="171"/>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72"/>
      <c r="EB21" s="171"/>
      <c r="EC21" s="171"/>
      <c r="ED21" s="171"/>
      <c r="EE21" s="171"/>
      <c r="EF21" s="171"/>
      <c r="EG21" s="173"/>
      <c r="EH21" s="171"/>
      <c r="EI21" s="171"/>
      <c r="EJ21" s="171"/>
      <c r="EK21" s="33"/>
      <c r="EL21" s="33"/>
      <c r="EM21" s="74"/>
      <c r="EN21" s="33"/>
      <c r="EO21" s="33"/>
      <c r="EP21" s="33"/>
      <c r="EQ21" s="33"/>
      <c r="ER21" s="33"/>
      <c r="ES21" s="137"/>
      <c r="ET21" s="33"/>
      <c r="EU21" s="33"/>
      <c r="EV21" s="33"/>
      <c r="EW21" s="33"/>
      <c r="EX21" s="33"/>
      <c r="EY21" s="74"/>
      <c r="EZ21" s="64"/>
      <c r="FA21" s="64"/>
      <c r="FB21" s="64"/>
      <c r="FC21" s="64"/>
      <c r="FD21" s="33"/>
      <c r="FE21" s="137"/>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37"/>
      <c r="HN21" s="33"/>
      <c r="HO21" s="33"/>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171"/>
      <c r="JG21" s="171"/>
      <c r="JH21" s="171"/>
      <c r="JI21" s="173"/>
      <c r="JJ21" s="171"/>
      <c r="JK21" s="171"/>
      <c r="JL21" s="171"/>
      <c r="JM21" s="171"/>
      <c r="JN21" s="171"/>
      <c r="JO21" s="176"/>
      <c r="JP21" s="170"/>
      <c r="JQ21" s="64"/>
      <c r="JR21" s="64"/>
      <c r="JS21" s="64"/>
      <c r="JT21" s="33"/>
      <c r="JU21" s="137"/>
      <c r="JV21" s="33"/>
      <c r="JW21" s="33"/>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171"/>
      <c r="LD21" s="171"/>
      <c r="LE21" s="173"/>
      <c r="LF21" s="171"/>
      <c r="LG21" s="171"/>
      <c r="LH21" s="171"/>
      <c r="LI21" s="171"/>
      <c r="LJ21" s="171"/>
      <c r="LK21" s="176"/>
      <c r="LL21" s="171"/>
      <c r="LM21" s="171"/>
      <c r="LN21" s="171"/>
      <c r="LO21" s="171"/>
      <c r="LP21" s="171"/>
      <c r="LQ21" s="173"/>
      <c r="LR21" s="171"/>
      <c r="LS21" s="171"/>
      <c r="LT21" s="171"/>
      <c r="LU21" s="171"/>
      <c r="LV21" s="171"/>
      <c r="LW21" s="176"/>
      <c r="LX21" s="170"/>
      <c r="LY21" s="170"/>
      <c r="LZ21" s="170"/>
      <c r="MA21" s="170"/>
      <c r="MB21" s="171"/>
      <c r="MC21" s="173"/>
      <c r="MD21" s="171"/>
      <c r="ME21" s="171"/>
      <c r="MF21" s="171"/>
      <c r="MG21" s="171"/>
      <c r="MH21" s="171"/>
      <c r="MI21" s="176"/>
      <c r="MJ21" s="171"/>
      <c r="MK21" s="171"/>
      <c r="ML21" s="171"/>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33"/>
      <c r="NS21" s="74"/>
      <c r="NT21" s="33"/>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33"/>
      <c r="PZ21" s="33"/>
      <c r="QA21" s="74"/>
      <c r="QB21" s="33"/>
      <c r="QC21" s="33"/>
      <c r="QD21" s="33"/>
      <c r="QE21" s="33"/>
      <c r="QF21" s="33"/>
      <c r="QG21" s="137"/>
      <c r="QH21" s="33"/>
      <c r="QI21" s="33"/>
      <c r="QJ21" s="33"/>
      <c r="QK21" s="33"/>
      <c r="QL21" s="33"/>
      <c r="QM21" s="74"/>
      <c r="QN21" s="64"/>
      <c r="QO21" s="64"/>
      <c r="QP21" s="64"/>
      <c r="QQ21" s="64"/>
      <c r="QR21" s="33"/>
      <c r="QS21" s="137"/>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37"/>
      <c r="SP21" s="33"/>
      <c r="SQ21" s="33"/>
      <c r="SR21" s="33"/>
      <c r="SS21" s="33"/>
      <c r="ST21" s="33"/>
      <c r="SU21" s="74"/>
      <c r="SV21" s="64"/>
      <c r="SW21" s="64"/>
      <c r="SX21" s="64"/>
      <c r="SY21" s="64"/>
      <c r="SZ21" s="33"/>
      <c r="TA21" s="137"/>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33"/>
      <c r="UO21" s="33"/>
      <c r="UP21" s="33"/>
      <c r="UQ21" s="74"/>
      <c r="UR21" s="33"/>
      <c r="US21" s="33"/>
      <c r="UT21" s="33"/>
      <c r="UU21" s="33"/>
      <c r="UV21" s="33"/>
      <c r="UW21" s="137"/>
      <c r="UX21" s="33"/>
      <c r="UY21" s="33"/>
      <c r="UZ21" s="33"/>
      <c r="VA21" s="171"/>
      <c r="VB21" s="171"/>
      <c r="VC21" s="176"/>
      <c r="VD21" s="170"/>
      <c r="VE21" s="170"/>
      <c r="VF21" s="64"/>
      <c r="VG21" s="64"/>
      <c r="VH21" s="33"/>
      <c r="VI21" s="137"/>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33"/>
      <c r="XA21" s="33"/>
      <c r="XB21" s="33"/>
      <c r="XC21" s="33"/>
      <c r="XD21" s="33"/>
      <c r="XE21" s="137"/>
      <c r="XF21" s="33"/>
      <c r="XG21" s="33"/>
      <c r="XH21" s="33"/>
      <c r="XI21" s="33"/>
      <c r="XJ21" s="33"/>
      <c r="XK21" s="74"/>
      <c r="XL21" s="64"/>
      <c r="XM21" s="64"/>
      <c r="XN21" s="64"/>
      <c r="XO21" s="64"/>
      <c r="XP21" s="33"/>
      <c r="XQ21" s="137"/>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33"/>
      <c r="ZF21" s="33"/>
      <c r="ZG21" s="74"/>
      <c r="ZH21" s="33"/>
      <c r="ZI21" s="33"/>
      <c r="ZJ21" s="33"/>
      <c r="ZK21" s="33"/>
      <c r="ZL21" s="33"/>
      <c r="ZM21" s="137"/>
      <c r="ZN21" s="33"/>
      <c r="ZO21" s="33"/>
      <c r="ZP21" s="33"/>
      <c r="ZQ21" s="33"/>
      <c r="ZR21" s="33"/>
      <c r="ZS21" s="74"/>
      <c r="ZT21" s="64"/>
      <c r="ZU21" s="64"/>
      <c r="ZV21" s="170"/>
      <c r="ZW21" s="170"/>
      <c r="ZX21" s="171"/>
      <c r="ZY21" s="173"/>
      <c r="ZZ21" s="171"/>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33"/>
      <c r="ABH21" s="33"/>
      <c r="ABI21" s="137"/>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33"/>
      <c r="ADV21" s="33"/>
      <c r="ADW21" s="74"/>
      <c r="ADX21" s="33"/>
      <c r="ADY21" s="33"/>
      <c r="ADZ21" s="33"/>
      <c r="AEA21" s="33"/>
      <c r="AEB21" s="33"/>
      <c r="AEC21" s="137"/>
      <c r="AED21" s="33"/>
      <c r="AEE21" s="33"/>
      <c r="AEF21" s="33"/>
      <c r="AEG21" s="171"/>
      <c r="AEH21" s="171"/>
      <c r="AEI21" s="176"/>
      <c r="AEJ21" s="170"/>
      <c r="AEK21" s="170"/>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33"/>
      <c r="AGD21" s="33"/>
      <c r="AGE21" s="74"/>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33"/>
      <c r="AJP21" s="33"/>
      <c r="AJQ21" s="137"/>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33"/>
      <c r="AKW21" s="33"/>
      <c r="AKX21" s="33"/>
      <c r="AKY21" s="33"/>
      <c r="AKZ21" s="33"/>
      <c r="ALA21" s="137"/>
      <c r="ALB21" s="33"/>
      <c r="ALC21" s="33"/>
      <c r="ALD21" s="33"/>
      <c r="ALE21" s="171"/>
      <c r="ALF21" s="171"/>
      <c r="ALG21" s="176"/>
      <c r="ALH21" s="170"/>
      <c r="ALI21" s="170"/>
      <c r="ALJ21" s="64"/>
      <c r="ALK21" s="64"/>
      <c r="ALL21" s="33"/>
      <c r="ALM21" s="137"/>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37"/>
      <c r="ANV21" s="33"/>
      <c r="ANW21" s="33"/>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33"/>
      <c r="APP21" s="33"/>
      <c r="APQ21" s="137"/>
      <c r="APR21" s="33"/>
      <c r="APS21" s="33"/>
      <c r="APT21" s="33"/>
      <c r="APU21" s="33"/>
      <c r="APV21" s="33"/>
      <c r="APW21" s="74"/>
      <c r="APX21" s="64"/>
      <c r="APY21" s="64"/>
      <c r="APZ21" s="64"/>
      <c r="AQA21" s="64"/>
      <c r="AQB21" s="33"/>
      <c r="AQC21" s="137"/>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33"/>
      <c r="ARP21" s="33"/>
      <c r="ARQ21" s="33"/>
      <c r="ARR21" s="33"/>
      <c r="ARS21" s="74"/>
      <c r="ART21" s="33"/>
      <c r="ARU21" s="33"/>
      <c r="ARV21" s="33"/>
      <c r="ARW21" s="33"/>
      <c r="ARX21" s="33"/>
      <c r="ARY21" s="137"/>
      <c r="ARZ21" s="33"/>
      <c r="ASA21" s="33"/>
      <c r="ASB21" s="33"/>
      <c r="ASC21" s="33"/>
      <c r="ASD21" s="33"/>
      <c r="ASE21" s="74"/>
      <c r="ASF21" s="64"/>
      <c r="ASG21" s="64"/>
      <c r="ASH21" s="64"/>
      <c r="ASI21" s="64"/>
      <c r="ASJ21" s="33"/>
      <c r="ASK21" s="137"/>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33"/>
      <c r="AUC21" s="33"/>
      <c r="AUD21" s="33"/>
      <c r="AUE21" s="33"/>
      <c r="AUF21" s="33"/>
      <c r="AUG21" s="137"/>
      <c r="AUH21" s="33"/>
      <c r="AUI21" s="33"/>
      <c r="AUJ21" s="33"/>
      <c r="AUK21" s="33"/>
      <c r="AUL21" s="33"/>
      <c r="AUM21" s="74"/>
      <c r="AUN21" s="64"/>
      <c r="AUO21" s="64"/>
      <c r="AUP21" s="64"/>
      <c r="AUQ21" s="64"/>
      <c r="AUR21" s="33"/>
      <c r="AUS21" s="137"/>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37"/>
      <c r="AXB21" s="33"/>
      <c r="AXC21" s="33"/>
      <c r="AXD21" s="33"/>
      <c r="AXE21" s="33"/>
      <c r="AXF21" s="33"/>
      <c r="AXG21" s="74"/>
      <c r="AXH21" s="33"/>
      <c r="AXI21" s="33"/>
      <c r="AXJ21" s="33"/>
      <c r="AXK21" s="33"/>
      <c r="AXL21" s="33"/>
      <c r="AXM21" s="137"/>
      <c r="AXN21" s="33"/>
      <c r="AXO21" s="33"/>
      <c r="AXP21" s="33"/>
      <c r="AXQ21" s="33"/>
      <c r="AXR21" s="33"/>
      <c r="AXS21" s="74"/>
      <c r="AXT21" s="33"/>
      <c r="AXU21" s="33"/>
      <c r="AXV21" s="33"/>
      <c r="AXW21" s="33"/>
      <c r="AXX21" s="33"/>
      <c r="AXY21" s="34"/>
      <c r="AXZ21" s="169"/>
      <c r="AYA21" s="170"/>
      <c r="AYB21" s="170"/>
      <c r="AYC21" s="170"/>
      <c r="AYD21" s="171"/>
      <c r="AYE21" s="172"/>
      <c r="AYF21" s="171"/>
      <c r="AYG21" s="171"/>
      <c r="AYH21" s="171"/>
      <c r="AYI21" s="171"/>
      <c r="AYJ21" s="171"/>
      <c r="AYK21" s="173"/>
      <c r="AYL21" s="171"/>
      <c r="AYM21" s="171"/>
      <c r="AYN21" s="171"/>
      <c r="AYO21" s="171"/>
      <c r="AYP21" s="171"/>
      <c r="AYQ21" s="176"/>
      <c r="AYR21" s="171"/>
      <c r="AYS21" s="171"/>
      <c r="AYT21" s="171"/>
      <c r="AYU21" s="171"/>
      <c r="AYV21" s="171"/>
      <c r="AYW21" s="173"/>
      <c r="AYX21" s="171"/>
      <c r="AYY21" s="171"/>
      <c r="AYZ21" s="171"/>
      <c r="AZA21" s="171"/>
      <c r="AZB21" s="171"/>
      <c r="AZC21" s="176"/>
      <c r="AZD21" s="170"/>
      <c r="AZE21" s="170"/>
      <c r="AZF21" s="170"/>
      <c r="AZG21" s="170"/>
      <c r="AZH21" s="171"/>
      <c r="AZI21" s="173"/>
      <c r="AZJ21" s="171"/>
      <c r="AZK21" s="171"/>
      <c r="AZL21" s="171"/>
      <c r="AZM21" s="171"/>
      <c r="AZN21" s="171"/>
      <c r="AZO21" s="176"/>
      <c r="AZP21" s="171"/>
      <c r="AZQ21" s="171"/>
      <c r="AZR21" s="171"/>
      <c r="AZS21" s="33"/>
      <c r="AZT21" s="33"/>
      <c r="AZU21" s="137"/>
      <c r="AZV21" s="33"/>
      <c r="AZW21" s="33"/>
      <c r="AZX21" s="33"/>
      <c r="AZY21" s="33"/>
      <c r="AZZ21" s="33"/>
      <c r="BAA21" s="74"/>
      <c r="BAB21" s="33"/>
      <c r="BAC21" s="33"/>
      <c r="BAD21" s="33"/>
      <c r="BAE21" s="33"/>
      <c r="BAF21" s="33"/>
      <c r="BAG21" s="34"/>
      <c r="BAH21" s="32"/>
      <c r="BAI21" s="64"/>
      <c r="BAJ21" s="64"/>
      <c r="BAK21" s="64"/>
      <c r="BAL21" s="33"/>
      <c r="BAM21" s="172"/>
      <c r="BAN21" s="171"/>
      <c r="BAO21" s="171"/>
      <c r="BAP21" s="171"/>
      <c r="BAQ21" s="171"/>
      <c r="BAR21" s="171"/>
      <c r="BAS21" s="173"/>
      <c r="BAT21" s="171"/>
      <c r="BAU21" s="171"/>
      <c r="BAV21" s="171"/>
      <c r="BAW21" s="171"/>
      <c r="BAX21" s="171"/>
      <c r="BAY21" s="176"/>
      <c r="BAZ21" s="171"/>
      <c r="BBA21" s="171"/>
      <c r="BBB21" s="171"/>
      <c r="BBC21" s="171"/>
      <c r="BBD21" s="171"/>
      <c r="BBE21" s="173"/>
      <c r="BBF21" s="171"/>
      <c r="BBG21" s="171"/>
      <c r="BBH21" s="171"/>
      <c r="BBI21" s="171"/>
      <c r="BBJ21" s="171"/>
      <c r="BBK21" s="176"/>
      <c r="BBL21" s="170"/>
      <c r="BBM21" s="170"/>
      <c r="BBN21" s="170"/>
      <c r="BBO21" s="170"/>
      <c r="BBP21" s="171"/>
      <c r="BBQ21" s="173"/>
      <c r="BBR21" s="171"/>
      <c r="BBS21" s="171"/>
      <c r="BBT21" s="171"/>
      <c r="BBU21" s="171"/>
      <c r="BBV21" s="171"/>
      <c r="BBW21" s="74"/>
      <c r="BBX21" s="33"/>
      <c r="BBY21" s="33"/>
      <c r="BBZ21" s="33"/>
      <c r="BCA21" s="33"/>
      <c r="BCB21" s="33"/>
      <c r="BCC21" s="137"/>
      <c r="BCD21" s="33"/>
      <c r="BCE21" s="33"/>
      <c r="BCF21" s="33"/>
      <c r="BCG21" s="33"/>
      <c r="BCH21" s="33"/>
      <c r="BCI21" s="74"/>
      <c r="BCJ21" s="33"/>
      <c r="BCK21" s="33"/>
      <c r="BCL21" s="33"/>
      <c r="BCM21" s="33"/>
      <c r="BCN21" s="33"/>
      <c r="BCO21" s="34"/>
      <c r="BCP21" s="32"/>
      <c r="BCQ21" s="64"/>
      <c r="BCR21" s="64"/>
      <c r="BCS21" s="170"/>
      <c r="BCT21" s="171"/>
      <c r="BCU21" s="172"/>
      <c r="BCV21" s="171"/>
      <c r="BCW21" s="171"/>
      <c r="BCX21" s="171"/>
      <c r="BCY21" s="171"/>
      <c r="BCZ21" s="171"/>
      <c r="BDA21" s="173"/>
      <c r="BDB21" s="171"/>
      <c r="BDC21" s="171"/>
      <c r="BDD21" s="171"/>
      <c r="BDE21" s="171"/>
      <c r="BDF21" s="171"/>
      <c r="BDG21" s="176"/>
      <c r="BDH21" s="171"/>
      <c r="BDI21" s="171"/>
      <c r="BDJ21" s="171"/>
      <c r="BDK21" s="171"/>
      <c r="BDL21" s="171"/>
      <c r="BDM21" s="173"/>
      <c r="BDN21" s="171"/>
      <c r="BDO21" s="171"/>
      <c r="BDP21" s="171"/>
      <c r="BDQ21" s="171"/>
      <c r="BDR21" s="171"/>
      <c r="BDS21" s="176"/>
      <c r="BDT21" s="170"/>
      <c r="BDU21" s="170"/>
      <c r="BDV21" s="170"/>
      <c r="BDW21" s="170"/>
      <c r="BDX21" s="171"/>
      <c r="BDY21" s="173"/>
      <c r="BDZ21" s="33"/>
      <c r="BEA21" s="33"/>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32"/>
      <c r="BEY21" s="64"/>
      <c r="BEZ21" s="64"/>
      <c r="BFA21" s="64"/>
      <c r="BFB21" s="33"/>
      <c r="BFC21" s="132"/>
      <c r="BFD21" s="33"/>
      <c r="BFE21" s="33"/>
      <c r="BFF21" s="33"/>
      <c r="BFG21" s="33"/>
      <c r="BFH21" s="33"/>
      <c r="BFI21" s="137"/>
      <c r="BFJ21" s="33"/>
      <c r="BFK21" s="33"/>
      <c r="BFL21" s="33"/>
      <c r="BFM21" s="33"/>
      <c r="BFN21" s="33"/>
      <c r="BFO21" s="74"/>
      <c r="BFP21" s="33"/>
      <c r="BFQ21" s="33"/>
      <c r="BFR21" s="33"/>
      <c r="BFS21" s="33"/>
      <c r="BFT21" s="33"/>
      <c r="BFU21" s="137"/>
      <c r="BFV21" s="33"/>
      <c r="BFW21" s="33"/>
      <c r="BFX21" s="33"/>
      <c r="BFY21" s="33"/>
      <c r="BFZ21" s="33"/>
      <c r="BGA21" s="74"/>
      <c r="BGB21" s="64"/>
      <c r="BGC21" s="64"/>
      <c r="BGD21" s="64"/>
      <c r="BGE21" s="64"/>
      <c r="BGF21" s="33"/>
      <c r="BGG21" s="137"/>
      <c r="BGH21" s="33"/>
      <c r="BGI21" s="33"/>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32"/>
      <c r="BHG21" s="64"/>
      <c r="BHH21" s="64"/>
      <c r="BHI21" s="64"/>
      <c r="BHJ21" s="33"/>
      <c r="BHK21" s="132"/>
      <c r="BHL21" s="33"/>
      <c r="BHM21" s="33"/>
      <c r="BHN21" s="33"/>
      <c r="BHO21" s="33"/>
      <c r="BHP21" s="33"/>
      <c r="BHQ21" s="137"/>
      <c r="BHR21" s="33"/>
      <c r="BHS21" s="33"/>
      <c r="BHT21" s="33"/>
      <c r="BHU21" s="33"/>
      <c r="BHV21" s="33"/>
      <c r="BHW21" s="74"/>
      <c r="BHX21" s="33"/>
      <c r="BHY21" s="33"/>
      <c r="BHZ21" s="33"/>
      <c r="BIA21" s="33"/>
      <c r="BIB21" s="33"/>
      <c r="BIC21" s="137"/>
      <c r="BID21" s="33"/>
      <c r="BIE21" s="33"/>
      <c r="BIF21" s="33"/>
      <c r="BIG21" s="33"/>
      <c r="BIH21" s="33"/>
      <c r="BII21" s="74"/>
      <c r="BIJ21" s="64"/>
      <c r="BIK21" s="64"/>
      <c r="BIL21" s="64"/>
      <c r="BIM21" s="64"/>
      <c r="BIN21" s="33"/>
      <c r="BIO21" s="137"/>
      <c r="BIP21" s="33"/>
      <c r="BIQ21" s="33"/>
      <c r="BIR21" s="33"/>
      <c r="BIS21" s="33"/>
      <c r="BIT21" s="33"/>
      <c r="BIU21" s="74"/>
      <c r="BIV21" s="33"/>
      <c r="BIW21" s="33"/>
      <c r="BIX21" s="33"/>
      <c r="BIY21" s="33"/>
      <c r="BIZ21" s="33"/>
      <c r="BJA21" s="137"/>
      <c r="BJB21" s="33"/>
      <c r="BJC21" s="33"/>
      <c r="BJD21" s="33"/>
      <c r="BJE21" s="33"/>
      <c r="BJF21" s="33"/>
      <c r="BJG21" s="74"/>
      <c r="BJH21" s="33"/>
      <c r="BJI21" s="33"/>
      <c r="BJJ21" s="33"/>
      <c r="BJK21" s="33"/>
      <c r="BJL21" s="33"/>
      <c r="BJM21" s="34"/>
      <c r="BJN21" s="90"/>
    </row>
    <row r="22" spans="1:1626" ht="20.100000000000001" customHeight="1" x14ac:dyDescent="0.25">
      <c r="A22" s="100" t="s">
        <v>19</v>
      </c>
      <c r="B22" s="63" t="str">
        <f>IF(LEN(C29)=0,"",C29)</f>
        <v>Doc - Analyse</v>
      </c>
      <c r="C22" s="209"/>
      <c r="D22" s="147" t="str">
        <f t="shared" si="0"/>
        <v>6h20min</v>
      </c>
      <c r="E22" s="35">
        <v>76</v>
      </c>
      <c r="F22" s="36"/>
      <c r="G22" s="65"/>
      <c r="H22" s="65"/>
      <c r="I22" s="65"/>
      <c r="J22" s="37"/>
      <c r="K22" s="133"/>
      <c r="L22" s="37"/>
      <c r="M22" s="37"/>
      <c r="N22" s="37"/>
      <c r="O22" s="37"/>
      <c r="P22" s="37"/>
      <c r="Q22" s="138"/>
      <c r="R22" s="37"/>
      <c r="S22" s="37"/>
      <c r="T22" s="37"/>
      <c r="U22" s="184"/>
      <c r="V22" s="184"/>
      <c r="W22" s="187"/>
      <c r="X22" s="184"/>
      <c r="Y22" s="184"/>
      <c r="Z22" s="184"/>
      <c r="AA22" s="184"/>
      <c r="AB22" s="184"/>
      <c r="AC22" s="186"/>
      <c r="AD22" s="184"/>
      <c r="AE22" s="184"/>
      <c r="AF22" s="184"/>
      <c r="AG22" s="184"/>
      <c r="AH22" s="184"/>
      <c r="AI22" s="187"/>
      <c r="AJ22" s="183"/>
      <c r="AK22" s="183"/>
      <c r="AL22" s="183"/>
      <c r="AM22" s="183"/>
      <c r="AN22" s="184"/>
      <c r="AO22" s="186"/>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184"/>
      <c r="CQ22" s="187"/>
      <c r="CR22" s="183"/>
      <c r="CS22" s="183"/>
      <c r="CT22" s="183"/>
      <c r="CU22" s="183"/>
      <c r="CV22" s="184"/>
      <c r="CW22" s="186"/>
      <c r="CX22" s="184"/>
      <c r="CY22" s="184"/>
      <c r="CZ22" s="184"/>
      <c r="DA22" s="184"/>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184"/>
      <c r="EJ22" s="184"/>
      <c r="EK22" s="184"/>
      <c r="EL22" s="184"/>
      <c r="EM22" s="187"/>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183"/>
      <c r="JQ22" s="183"/>
      <c r="JR22" s="183"/>
      <c r="JS22" s="183"/>
      <c r="JT22" s="184"/>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184"/>
      <c r="LE22" s="186"/>
      <c r="LF22" s="184"/>
      <c r="LG22" s="184"/>
      <c r="LH22" s="184"/>
      <c r="LI22" s="184"/>
      <c r="LJ22" s="184"/>
      <c r="LK22" s="187"/>
      <c r="LL22" s="184"/>
      <c r="LM22" s="184"/>
      <c r="LN22" s="184"/>
      <c r="LO22" s="184"/>
      <c r="LP22" s="184"/>
      <c r="LQ22" s="186"/>
      <c r="LR22" s="184"/>
      <c r="LS22" s="184"/>
      <c r="LT22" s="184"/>
      <c r="LU22" s="184"/>
      <c r="LV22" s="184"/>
      <c r="LW22" s="187"/>
      <c r="LX22" s="183"/>
      <c r="LY22" s="183"/>
      <c r="LZ22" s="183"/>
      <c r="MA22" s="183"/>
      <c r="MB22" s="184"/>
      <c r="MC22" s="186"/>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184"/>
      <c r="OE22" s="187"/>
      <c r="OF22" s="183"/>
      <c r="OG22" s="183"/>
      <c r="OH22" s="183"/>
      <c r="OI22" s="183"/>
      <c r="OJ22" s="184"/>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36"/>
      <c r="BHG22" s="65"/>
      <c r="BHH22" s="65"/>
      <c r="BHI22" s="65"/>
      <c r="BHJ22" s="37"/>
      <c r="BHK22" s="133"/>
      <c r="BHL22" s="37"/>
      <c r="BHM22" s="37"/>
      <c r="BHN22" s="37"/>
      <c r="BHO22" s="37"/>
      <c r="BHP22" s="37"/>
      <c r="BHQ22" s="138"/>
      <c r="BHR22" s="37"/>
      <c r="BHS22" s="37"/>
      <c r="BHT22" s="37"/>
      <c r="BHU22" s="37"/>
      <c r="BHV22" s="37"/>
      <c r="BHW22" s="75"/>
      <c r="BHX22" s="37"/>
      <c r="BHY22" s="37"/>
      <c r="BHZ22" s="37"/>
      <c r="BIA22" s="37"/>
      <c r="BIB22" s="37"/>
      <c r="BIC22" s="138"/>
      <c r="BID22" s="37"/>
      <c r="BIE22" s="37"/>
      <c r="BIF22" s="37"/>
      <c r="BIG22" s="37"/>
      <c r="BIH22" s="37"/>
      <c r="BII22" s="75"/>
      <c r="BIJ22" s="65"/>
      <c r="BIK22" s="65"/>
      <c r="BIL22" s="65"/>
      <c r="BIM22" s="65"/>
      <c r="BIN22" s="37"/>
      <c r="BIO22" s="138"/>
      <c r="BIP22" s="37"/>
      <c r="BIQ22" s="37"/>
      <c r="BIR22" s="37"/>
      <c r="BIS22" s="37"/>
      <c r="BIT22" s="37"/>
      <c r="BIU22" s="75"/>
      <c r="BIV22" s="37"/>
      <c r="BIW22" s="37"/>
      <c r="BIX22" s="37"/>
      <c r="BIY22" s="37"/>
      <c r="BIZ22" s="37"/>
      <c r="BJA22" s="138"/>
      <c r="BJB22" s="37"/>
      <c r="BJC22" s="37"/>
      <c r="BJD22" s="37"/>
      <c r="BJE22" s="37"/>
      <c r="BJF22" s="37"/>
      <c r="BJG22" s="75"/>
      <c r="BJH22" s="37"/>
      <c r="BJI22" s="37"/>
      <c r="BJJ22" s="37"/>
      <c r="BJK22" s="37"/>
      <c r="BJL22" s="37"/>
      <c r="BJM22" s="38"/>
      <c r="BJN22" s="90"/>
    </row>
    <row r="23" spans="1:1626" ht="20.100000000000001" customHeight="1" x14ac:dyDescent="0.25">
      <c r="A23" s="100" t="s">
        <v>18</v>
      </c>
      <c r="B23" s="63" t="str">
        <f>IF(LEN(C31)=0,"",C31)</f>
        <v>Doc - Général</v>
      </c>
      <c r="C23" s="207" t="s">
        <v>41</v>
      </c>
      <c r="D23" s="146" t="str">
        <f t="shared" si="0"/>
        <v>1h40min</v>
      </c>
      <c r="E23" s="39">
        <v>20</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174"/>
      <c r="CG23" s="174"/>
      <c r="CH23" s="174"/>
      <c r="CI23" s="174"/>
      <c r="CJ23" s="174"/>
      <c r="CK23" s="177"/>
      <c r="CL23" s="174"/>
      <c r="CM23" s="174"/>
      <c r="CN23" s="174"/>
      <c r="CO23" s="174"/>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41"/>
      <c r="EX23" s="41"/>
      <c r="EY23" s="76"/>
      <c r="EZ23" s="66"/>
      <c r="FA23" s="66"/>
      <c r="FB23" s="66"/>
      <c r="FC23" s="6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77"/>
      <c r="HN23" s="174"/>
      <c r="HO23" s="174"/>
      <c r="HP23" s="174"/>
      <c r="HQ23" s="174"/>
      <c r="HR23" s="174"/>
      <c r="HS23" s="175"/>
      <c r="HT23" s="174"/>
      <c r="HU23" s="174"/>
      <c r="HV23" s="174"/>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41"/>
      <c r="LI23" s="41"/>
      <c r="LJ23" s="41"/>
      <c r="LK23" s="76"/>
      <c r="LL23" s="41"/>
      <c r="LM23" s="41"/>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41"/>
      <c r="NM23" s="139"/>
      <c r="NN23" s="41"/>
      <c r="NO23" s="41"/>
      <c r="NP23" s="41"/>
      <c r="NQ23" s="41"/>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41"/>
      <c r="PT23" s="41"/>
      <c r="PU23" s="139"/>
      <c r="PV23" s="41"/>
      <c r="PW23" s="41"/>
      <c r="PX23" s="41"/>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76"/>
      <c r="SJ23" s="41"/>
      <c r="SK23" s="41"/>
      <c r="SL23" s="41"/>
      <c r="SM23" s="41"/>
      <c r="SN23" s="41"/>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41"/>
      <c r="UI23" s="41"/>
      <c r="UJ23" s="41"/>
      <c r="UK23" s="139"/>
      <c r="UL23" s="41"/>
      <c r="UM23" s="41"/>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41"/>
      <c r="WU23" s="41"/>
      <c r="WV23" s="41"/>
      <c r="WW23" s="41"/>
      <c r="WX23" s="41"/>
      <c r="WY23" s="76"/>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41"/>
      <c r="YZ23" s="41"/>
      <c r="ZA23" s="139"/>
      <c r="ZB23" s="41"/>
      <c r="ZC23" s="41"/>
      <c r="ZD23" s="41"/>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66"/>
      <c r="ABB23" s="41"/>
      <c r="ABC23" s="134"/>
      <c r="ABD23" s="41"/>
      <c r="ABE23" s="41"/>
      <c r="ABF23" s="41"/>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41"/>
      <c r="ADP23" s="41"/>
      <c r="ADQ23" s="139"/>
      <c r="ADR23" s="41"/>
      <c r="ADS23" s="41"/>
      <c r="ADT23" s="41"/>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41"/>
      <c r="AFX23" s="41"/>
      <c r="AFY23" s="139"/>
      <c r="AFZ23" s="41"/>
      <c r="AGA23" s="41"/>
      <c r="AGB23" s="41"/>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41"/>
      <c r="AJJ23" s="41"/>
      <c r="AJK23" s="76"/>
      <c r="AJL23" s="41"/>
      <c r="AJM23" s="41"/>
      <c r="AJN23" s="41"/>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41"/>
      <c r="AKQ23" s="41"/>
      <c r="AKR23" s="41"/>
      <c r="AKS23" s="41"/>
      <c r="AKT23" s="41"/>
      <c r="AKU23" s="76"/>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76"/>
      <c r="ANP23" s="66"/>
      <c r="ANQ23" s="66"/>
      <c r="ANR23" s="66"/>
      <c r="ANS23" s="66"/>
      <c r="ANT23" s="41"/>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41"/>
      <c r="APA23" s="41"/>
      <c r="APB23" s="41"/>
      <c r="APC23" s="41"/>
      <c r="APD23" s="41"/>
      <c r="APE23" s="139"/>
      <c r="APF23" s="41"/>
      <c r="APG23" s="41"/>
      <c r="APH23" s="41"/>
      <c r="API23" s="41"/>
      <c r="APJ23" s="41"/>
      <c r="APK23" s="76"/>
      <c r="APL23" s="41"/>
      <c r="APM23" s="41"/>
      <c r="APN23" s="41"/>
      <c r="APO23" s="41"/>
      <c r="APP23" s="41"/>
      <c r="APQ23" s="139"/>
      <c r="APR23" s="41"/>
      <c r="APS23" s="41"/>
      <c r="APT23" s="41"/>
      <c r="APU23" s="41"/>
      <c r="APV23" s="41"/>
      <c r="APW23" s="76"/>
      <c r="APX23" s="66"/>
      <c r="APY23" s="66"/>
      <c r="APZ23" s="66"/>
      <c r="AQA23" s="66"/>
      <c r="AQB23" s="41"/>
      <c r="AQC23" s="139"/>
      <c r="AQD23" s="41"/>
      <c r="AQE23" s="41"/>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41"/>
      <c r="ARJ23" s="41"/>
      <c r="ARK23" s="41"/>
      <c r="ARL23" s="41"/>
      <c r="ARM23" s="139"/>
      <c r="ARN23" s="41"/>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41"/>
      <c r="ATW23" s="41"/>
      <c r="ATX23" s="41"/>
      <c r="ATY23" s="41"/>
      <c r="ATZ23" s="41"/>
      <c r="AUA23" s="76"/>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76"/>
      <c r="AWV23" s="66"/>
      <c r="AWW23" s="66"/>
      <c r="AWX23" s="66"/>
      <c r="AWY23" s="66"/>
      <c r="AWZ23" s="41"/>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41"/>
      <c r="AYM23" s="41"/>
      <c r="AYN23" s="41"/>
      <c r="AYO23" s="41"/>
      <c r="AYP23" s="41"/>
      <c r="AYQ23" s="76"/>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76"/>
      <c r="BBL23" s="66"/>
      <c r="BBM23" s="66"/>
      <c r="BBN23" s="66"/>
      <c r="BBO23" s="66"/>
      <c r="BBP23" s="41"/>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41"/>
      <c r="BCZ23" s="41"/>
      <c r="BDA23" s="139"/>
      <c r="BDB23" s="41"/>
      <c r="BDC23" s="41"/>
      <c r="BDD23" s="41"/>
      <c r="BDE23" s="41"/>
      <c r="BDF23" s="41"/>
      <c r="BDG23" s="76"/>
      <c r="BDH23" s="41"/>
      <c r="BDI23" s="41"/>
      <c r="BDJ23" s="41"/>
      <c r="BDK23" s="41"/>
      <c r="BDL23" s="41"/>
      <c r="BDM23" s="139"/>
      <c r="BDN23" s="41"/>
      <c r="BDO23" s="41"/>
      <c r="BDP23" s="41"/>
      <c r="BDQ23" s="41"/>
      <c r="BDR23" s="41"/>
      <c r="BDS23" s="76"/>
      <c r="BDT23" s="66"/>
      <c r="BDU23" s="66"/>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41"/>
      <c r="BFL23" s="41"/>
      <c r="BFM23" s="41"/>
      <c r="BFN23" s="41"/>
      <c r="BFO23" s="76"/>
      <c r="BFP23" s="41"/>
      <c r="BFQ23" s="41"/>
      <c r="BFR23" s="41"/>
      <c r="BFS23" s="41"/>
      <c r="BFT23" s="41"/>
      <c r="BFU23" s="139"/>
      <c r="BFV23" s="41"/>
      <c r="BFW23" s="41"/>
      <c r="BFX23" s="41"/>
      <c r="BFY23" s="41"/>
      <c r="BFZ23" s="41"/>
      <c r="BGA23" s="76"/>
      <c r="BGB23" s="66"/>
      <c r="BGC23" s="66"/>
      <c r="BGD23" s="66"/>
      <c r="BGE23" s="66"/>
      <c r="BGF23" s="41"/>
      <c r="BGG23" s="139"/>
      <c r="BGH23" s="41"/>
      <c r="BGI23" s="41"/>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40"/>
      <c r="BHG23" s="66"/>
      <c r="BHH23" s="66"/>
      <c r="BHI23" s="66"/>
      <c r="BHJ23" s="41"/>
      <c r="BHK23" s="134"/>
      <c r="BHL23" s="41"/>
      <c r="BHM23" s="41"/>
      <c r="BHN23" s="41"/>
      <c r="BHO23" s="41"/>
      <c r="BHP23" s="41"/>
      <c r="BHQ23" s="139"/>
      <c r="BHR23" s="41"/>
      <c r="BHS23" s="41"/>
      <c r="BHT23" s="41"/>
      <c r="BHU23" s="41"/>
      <c r="BHV23" s="41"/>
      <c r="BHW23" s="76"/>
      <c r="BHX23" s="41"/>
      <c r="BHY23" s="41"/>
      <c r="BHZ23" s="41"/>
      <c r="BIA23" s="41"/>
      <c r="BIB23" s="41"/>
      <c r="BIC23" s="139"/>
      <c r="BID23" s="41"/>
      <c r="BIE23" s="41"/>
      <c r="BIF23" s="41"/>
      <c r="BIG23" s="41"/>
      <c r="BIH23" s="41"/>
      <c r="BII23" s="76"/>
      <c r="BIJ23" s="66"/>
      <c r="BIK23" s="66"/>
      <c r="BIL23" s="66"/>
      <c r="BIM23" s="66"/>
      <c r="BIN23" s="41"/>
      <c r="BIO23" s="139"/>
      <c r="BIP23" s="41"/>
      <c r="BIQ23" s="41"/>
      <c r="BIR23" s="41"/>
      <c r="BIS23" s="41"/>
      <c r="BIT23" s="41"/>
      <c r="BIU23" s="76"/>
      <c r="BIV23" s="41"/>
      <c r="BIW23" s="41"/>
      <c r="BIX23" s="41"/>
      <c r="BIY23" s="41"/>
      <c r="BIZ23" s="41"/>
      <c r="BJA23" s="139"/>
      <c r="BJB23" s="41"/>
      <c r="BJC23" s="41"/>
      <c r="BJD23" s="41"/>
      <c r="BJE23" s="41"/>
      <c r="BJF23" s="41"/>
      <c r="BJG23" s="76"/>
      <c r="BJH23" s="41"/>
      <c r="BJI23" s="41"/>
      <c r="BJJ23" s="41"/>
      <c r="BJK23" s="41"/>
      <c r="BJL23" s="41"/>
      <c r="BJM23" s="42"/>
      <c r="BJN23" s="90"/>
    </row>
    <row r="24" spans="1:1626" ht="20.100000000000001" customHeight="1" x14ac:dyDescent="0.25">
      <c r="A24" s="100" t="s">
        <v>19</v>
      </c>
      <c r="B24" s="63" t="str">
        <f>IF(LEN(C33)=0,"",C33)</f>
        <v>Dev - Page des tâches</v>
      </c>
      <c r="C24" s="209"/>
      <c r="D24" s="147" t="str">
        <f t="shared" si="0"/>
        <v>2h5min</v>
      </c>
      <c r="E24" s="27">
        <v>25</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188"/>
      <c r="CG24" s="188"/>
      <c r="CH24" s="188"/>
      <c r="CI24" s="188"/>
      <c r="CJ24" s="188"/>
      <c r="CK24" s="189"/>
      <c r="CL24" s="188"/>
      <c r="CM24" s="188"/>
      <c r="CN24" s="188"/>
      <c r="CO24" s="188"/>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188"/>
      <c r="GO24" s="189"/>
      <c r="GP24" s="188"/>
      <c r="GQ24" s="188"/>
      <c r="GR24" s="188"/>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190"/>
      <c r="KU24" s="191"/>
      <c r="KV24" s="191"/>
      <c r="KW24" s="191"/>
      <c r="KX24" s="188"/>
      <c r="KY24" s="192"/>
      <c r="KZ24" s="188"/>
      <c r="LA24" s="188"/>
      <c r="LB24" s="188"/>
      <c r="LC24" s="188"/>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28"/>
      <c r="BHG24" s="67"/>
      <c r="BHH24" s="67"/>
      <c r="BHI24" s="67"/>
      <c r="BHJ24" s="29"/>
      <c r="BHK24" s="131"/>
      <c r="BHL24" s="29"/>
      <c r="BHM24" s="29"/>
      <c r="BHN24" s="29"/>
      <c r="BHO24" s="29"/>
      <c r="BHP24" s="29"/>
      <c r="BHQ24" s="136"/>
      <c r="BHR24" s="29"/>
      <c r="BHS24" s="29"/>
      <c r="BHT24" s="29"/>
      <c r="BHU24" s="29"/>
      <c r="BHV24" s="29"/>
      <c r="BHW24" s="73"/>
      <c r="BHX24" s="29"/>
      <c r="BHY24" s="29"/>
      <c r="BHZ24" s="29"/>
      <c r="BIA24" s="29"/>
      <c r="BIB24" s="29"/>
      <c r="BIC24" s="136"/>
      <c r="BID24" s="29"/>
      <c r="BIE24" s="29"/>
      <c r="BIF24" s="29"/>
      <c r="BIG24" s="29"/>
      <c r="BIH24" s="29"/>
      <c r="BII24" s="73"/>
      <c r="BIJ24" s="67"/>
      <c r="BIK24" s="67"/>
      <c r="BIL24" s="67"/>
      <c r="BIM24" s="67"/>
      <c r="BIN24" s="29"/>
      <c r="BIO24" s="136"/>
      <c r="BIP24" s="29"/>
      <c r="BIQ24" s="29"/>
      <c r="BIR24" s="29"/>
      <c r="BIS24" s="29"/>
      <c r="BIT24" s="29"/>
      <c r="BIU24" s="73"/>
      <c r="BIV24" s="29"/>
      <c r="BIW24" s="29"/>
      <c r="BIX24" s="29"/>
      <c r="BIY24" s="29"/>
      <c r="BIZ24" s="29"/>
      <c r="BJA24" s="136"/>
      <c r="BJB24" s="29"/>
      <c r="BJC24" s="29"/>
      <c r="BJD24" s="29"/>
      <c r="BJE24" s="29"/>
      <c r="BJF24" s="29"/>
      <c r="BJG24" s="73"/>
      <c r="BJH24" s="29"/>
      <c r="BJI24" s="29"/>
      <c r="BJJ24" s="29"/>
      <c r="BJK24" s="29"/>
      <c r="BJL24" s="29"/>
      <c r="BJM24" s="30"/>
      <c r="BJN24" s="90"/>
    </row>
    <row r="25" spans="1:1626" ht="20.100000000000001" customHeight="1" x14ac:dyDescent="0.25">
      <c r="A25" s="100" t="s">
        <v>18</v>
      </c>
      <c r="B25" s="63" t="str">
        <f>IF(LEN(C35)=0,"",C35)</f>
        <v>Dev - ToDoList</v>
      </c>
      <c r="C25" s="207" t="s">
        <v>51</v>
      </c>
      <c r="D25" s="146" t="str">
        <f t="shared" si="0"/>
        <v>4h15min</v>
      </c>
      <c r="E25" s="31">
        <v>51</v>
      </c>
      <c r="F25" s="169"/>
      <c r="G25" s="170"/>
      <c r="H25" s="170"/>
      <c r="I25" s="170"/>
      <c r="J25" s="171"/>
      <c r="K25" s="172"/>
      <c r="L25" s="171"/>
      <c r="M25" s="171"/>
      <c r="N25" s="171"/>
      <c r="O25" s="171"/>
      <c r="P25" s="171"/>
      <c r="Q25" s="173"/>
      <c r="R25" s="171"/>
      <c r="S25" s="171"/>
      <c r="T25" s="171"/>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171"/>
      <c r="EL25" s="171"/>
      <c r="EM25" s="176"/>
      <c r="EN25" s="171"/>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171"/>
      <c r="NY25" s="173"/>
      <c r="NZ25" s="171"/>
      <c r="OA25" s="171"/>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170"/>
      <c r="VG25" s="170"/>
      <c r="VH25" s="171"/>
      <c r="VI25" s="173"/>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170"/>
      <c r="AEM25" s="170"/>
      <c r="AEN25" s="171"/>
      <c r="AEO25" s="173"/>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170"/>
      <c r="ALK25" s="170"/>
      <c r="ALL25" s="171"/>
      <c r="ALM25" s="173"/>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176"/>
      <c r="AQJ25" s="171"/>
      <c r="AQK25" s="171"/>
      <c r="AQL25" s="171"/>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170"/>
      <c r="AUQ25" s="170"/>
      <c r="AUR25" s="171"/>
      <c r="AUS25" s="173"/>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176"/>
      <c r="BBX25" s="171"/>
      <c r="BBY25" s="171"/>
      <c r="BBZ25" s="171"/>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32"/>
      <c r="BHG25" s="64"/>
      <c r="BHH25" s="64"/>
      <c r="BHI25" s="64"/>
      <c r="BHJ25" s="33"/>
      <c r="BHK25" s="132"/>
      <c r="BHL25" s="33"/>
      <c r="BHM25" s="33"/>
      <c r="BHN25" s="33"/>
      <c r="BHO25" s="33"/>
      <c r="BHP25" s="33"/>
      <c r="BHQ25" s="137"/>
      <c r="BHR25" s="33"/>
      <c r="BHS25" s="33"/>
      <c r="BHT25" s="33"/>
      <c r="BHU25" s="33"/>
      <c r="BHV25" s="33"/>
      <c r="BHW25" s="74"/>
      <c r="BHX25" s="33"/>
      <c r="BHY25" s="33"/>
      <c r="BHZ25" s="33"/>
      <c r="BIA25" s="33"/>
      <c r="BIB25" s="33"/>
      <c r="BIC25" s="137"/>
      <c r="BID25" s="33"/>
      <c r="BIE25" s="33"/>
      <c r="BIF25" s="33"/>
      <c r="BIG25" s="33"/>
      <c r="BIH25" s="33"/>
      <c r="BII25" s="74"/>
      <c r="BIJ25" s="64"/>
      <c r="BIK25" s="64"/>
      <c r="BIL25" s="170"/>
      <c r="BIM25" s="170"/>
      <c r="BIN25" s="171"/>
      <c r="BIO25" s="173"/>
      <c r="BIP25" s="33"/>
      <c r="BIQ25" s="33"/>
      <c r="BIR25" s="33"/>
      <c r="BIS25" s="33"/>
      <c r="BIT25" s="33"/>
      <c r="BIU25" s="74"/>
      <c r="BIV25" s="33"/>
      <c r="BIW25" s="33"/>
      <c r="BIX25" s="33"/>
      <c r="BIY25" s="33"/>
      <c r="BIZ25" s="33"/>
      <c r="BJA25" s="137"/>
      <c r="BJB25" s="33"/>
      <c r="BJC25" s="33"/>
      <c r="BJD25" s="33"/>
      <c r="BJE25" s="33"/>
      <c r="BJF25" s="33"/>
      <c r="BJG25" s="74"/>
      <c r="BJH25" s="33"/>
      <c r="BJI25" s="33"/>
      <c r="BJJ25" s="33"/>
      <c r="BJK25" s="33"/>
      <c r="BJL25" s="33"/>
      <c r="BJM25" s="34"/>
      <c r="BJN25" s="90"/>
    </row>
    <row r="26" spans="1:1626" ht="20.100000000000001" customHeight="1" x14ac:dyDescent="0.3">
      <c r="A26" s="100" t="s">
        <v>19</v>
      </c>
      <c r="B26" s="63" t="str">
        <f>IF(LEN(C37)=0,"",C37)</f>
        <v>Dev - Général</v>
      </c>
      <c r="C26" s="208"/>
      <c r="D26" s="148" t="str">
        <f t="shared" si="0"/>
        <v>2h20min</v>
      </c>
      <c r="E26" s="35">
        <v>28</v>
      </c>
      <c r="F26" s="182"/>
      <c r="G26" s="183"/>
      <c r="H26" s="183"/>
      <c r="I26" s="183"/>
      <c r="J26" s="184"/>
      <c r="K26" s="185"/>
      <c r="L26" s="184"/>
      <c r="M26" s="184"/>
      <c r="N26" s="184"/>
      <c r="O26" s="184"/>
      <c r="P26" s="184"/>
      <c r="Q26" s="186"/>
      <c r="R26" s="184"/>
      <c r="S26" s="184"/>
      <c r="T26" s="184"/>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86"/>
      <c r="ET26" s="184"/>
      <c r="EU26" s="184"/>
      <c r="EV26" s="184"/>
      <c r="EW26" s="184"/>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184"/>
      <c r="OA26" s="184"/>
      <c r="OB26" s="184"/>
      <c r="OC26" s="184"/>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184"/>
      <c r="UZ26" s="184"/>
      <c r="VA26" s="184"/>
      <c r="VB26" s="184"/>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36"/>
      <c r="BHG26" s="65"/>
      <c r="BHH26" s="65"/>
      <c r="BHI26" s="65"/>
      <c r="BHJ26" s="37"/>
      <c r="BHK26" s="133"/>
      <c r="BHL26" s="37"/>
      <c r="BHM26" s="37"/>
      <c r="BHN26" s="37"/>
      <c r="BHO26" s="37"/>
      <c r="BHP26" s="37"/>
      <c r="BHQ26" s="138"/>
      <c r="BHR26" s="37"/>
      <c r="BHS26" s="37"/>
      <c r="BHT26" s="37"/>
      <c r="BHU26" s="37"/>
      <c r="BHV26" s="37"/>
      <c r="BHW26" s="75"/>
      <c r="BHX26" s="37"/>
      <c r="BHY26" s="37"/>
      <c r="BHZ26" s="37"/>
      <c r="BIA26" s="37"/>
      <c r="BIB26" s="37"/>
      <c r="BIC26" s="138"/>
      <c r="BID26" s="37"/>
      <c r="BIE26" s="37"/>
      <c r="BIF26" s="37"/>
      <c r="BIG26" s="37"/>
      <c r="BIH26" s="37"/>
      <c r="BII26" s="75"/>
      <c r="BIJ26" s="65"/>
      <c r="BIK26" s="65"/>
      <c r="BIL26" s="65"/>
      <c r="BIM26" s="65"/>
      <c r="BIN26" s="37"/>
      <c r="BIO26" s="138"/>
      <c r="BIP26" s="37"/>
      <c r="BIQ26" s="37"/>
      <c r="BIR26" s="37"/>
      <c r="BIS26" s="37"/>
      <c r="BIT26" s="37"/>
      <c r="BIU26" s="75"/>
      <c r="BIV26" s="37"/>
      <c r="BIW26" s="37"/>
      <c r="BIX26" s="37"/>
      <c r="BIY26" s="37"/>
      <c r="BIZ26" s="37"/>
      <c r="BJA26" s="138"/>
      <c r="BJB26" s="37"/>
      <c r="BJC26" s="37"/>
      <c r="BJD26" s="37"/>
      <c r="BJE26" s="37"/>
      <c r="BJF26" s="37"/>
      <c r="BJG26" s="75"/>
      <c r="BJH26" s="37"/>
      <c r="BJI26" s="37"/>
      <c r="BJJ26" s="37"/>
      <c r="BJK26" s="37"/>
      <c r="BJL26" s="37"/>
      <c r="BJM26" s="38"/>
      <c r="BJN26" s="90"/>
    </row>
    <row r="27" spans="1:1626" ht="20.100000000000001" customHeight="1" x14ac:dyDescent="0.25">
      <c r="A27" s="100" t="s">
        <v>18</v>
      </c>
      <c r="B27" s="63" t="str">
        <f>IF(LEN(C39)=0,"",C39)</f>
        <v>Dev - Interfaces</v>
      </c>
      <c r="C27" s="207" t="s">
        <v>62</v>
      </c>
      <c r="D27" s="146" t="str">
        <f t="shared" si="0"/>
        <v>2h30min</v>
      </c>
      <c r="E27" s="39">
        <v>30</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178"/>
      <c r="GE27" s="179"/>
      <c r="GF27" s="179"/>
      <c r="GG27" s="179"/>
      <c r="GH27" s="174"/>
      <c r="GI27" s="180"/>
      <c r="GJ27" s="174"/>
      <c r="GK27" s="174"/>
      <c r="GL27" s="174"/>
      <c r="GM27" s="174"/>
      <c r="GN27" s="174"/>
      <c r="GO27" s="177"/>
      <c r="GP27" s="174"/>
      <c r="GQ27" s="174"/>
      <c r="GR27" s="174"/>
      <c r="GS27" s="174"/>
      <c r="GT27" s="174"/>
      <c r="GU27" s="175"/>
      <c r="GV27" s="174"/>
      <c r="GW27" s="174"/>
      <c r="GX27" s="174"/>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179"/>
      <c r="OH27" s="179"/>
      <c r="OI27" s="179"/>
      <c r="OJ27" s="174"/>
      <c r="OK27" s="177"/>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179"/>
      <c r="QQ27" s="179"/>
      <c r="QR27" s="174"/>
      <c r="QS27" s="177"/>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40"/>
      <c r="BHG27" s="66"/>
      <c r="BHH27" s="66"/>
      <c r="BHI27" s="66"/>
      <c r="BHJ27" s="41"/>
      <c r="BHK27" s="134"/>
      <c r="BHL27" s="41"/>
      <c r="BHM27" s="41"/>
      <c r="BHN27" s="41"/>
      <c r="BHO27" s="41"/>
      <c r="BHP27" s="41"/>
      <c r="BHQ27" s="139"/>
      <c r="BHR27" s="41"/>
      <c r="BHS27" s="41"/>
      <c r="BHT27" s="41"/>
      <c r="BHU27" s="41"/>
      <c r="BHV27" s="41"/>
      <c r="BHW27" s="76"/>
      <c r="BHX27" s="41"/>
      <c r="BHY27" s="41"/>
      <c r="BHZ27" s="41"/>
      <c r="BIA27" s="41"/>
      <c r="BIB27" s="41"/>
      <c r="BIC27" s="139"/>
      <c r="BID27" s="41"/>
      <c r="BIE27" s="41"/>
      <c r="BIF27" s="41"/>
      <c r="BIG27" s="41"/>
      <c r="BIH27" s="41"/>
      <c r="BII27" s="76"/>
      <c r="BIJ27" s="66"/>
      <c r="BIK27" s="66"/>
      <c r="BIL27" s="66"/>
      <c r="BIM27" s="66"/>
      <c r="BIN27" s="41"/>
      <c r="BIO27" s="139"/>
      <c r="BIP27" s="41"/>
      <c r="BIQ27" s="41"/>
      <c r="BIR27" s="41"/>
      <c r="BIS27" s="41"/>
      <c r="BIT27" s="41"/>
      <c r="BIU27" s="76"/>
      <c r="BIV27" s="41"/>
      <c r="BIW27" s="41"/>
      <c r="BIX27" s="41"/>
      <c r="BIY27" s="41"/>
      <c r="BIZ27" s="41"/>
      <c r="BJA27" s="139"/>
      <c r="BJB27" s="41"/>
      <c r="BJC27" s="41"/>
      <c r="BJD27" s="41"/>
      <c r="BJE27" s="41"/>
      <c r="BJF27" s="41"/>
      <c r="BJG27" s="76"/>
      <c r="BJH27" s="41"/>
      <c r="BJI27" s="41"/>
      <c r="BJJ27" s="41"/>
      <c r="BJK27" s="41"/>
      <c r="BJL27" s="41"/>
      <c r="BJM27" s="42"/>
      <c r="BJN27" s="90"/>
    </row>
    <row r="28" spans="1:1626" ht="20.100000000000001" customHeight="1" x14ac:dyDescent="0.3">
      <c r="A28" s="100" t="s">
        <v>19</v>
      </c>
      <c r="B28" s="63" t="str">
        <f>IF(LEN(C41)=0,"",C41)</f>
        <v>Dev - Github</v>
      </c>
      <c r="C28" s="208"/>
      <c r="D28" s="148" t="str">
        <f t="shared" si="0"/>
        <v>0h50min</v>
      </c>
      <c r="E28" s="27">
        <v>10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190"/>
      <c r="GE28" s="191"/>
      <c r="GF28" s="191"/>
      <c r="GG28" s="191"/>
      <c r="GH28" s="188"/>
      <c r="GI28" s="192"/>
      <c r="GJ28" s="188"/>
      <c r="GK28" s="188"/>
      <c r="GL28" s="188"/>
      <c r="GM28" s="188"/>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28"/>
      <c r="BHG28" s="67"/>
      <c r="BHH28" s="67"/>
      <c r="BHI28" s="67"/>
      <c r="BHJ28" s="29"/>
      <c r="BHK28" s="131"/>
      <c r="BHL28" s="29"/>
      <c r="BHM28" s="29"/>
      <c r="BHN28" s="29"/>
      <c r="BHO28" s="29"/>
      <c r="BHP28" s="29"/>
      <c r="BHQ28" s="136"/>
      <c r="BHR28" s="29"/>
      <c r="BHS28" s="29"/>
      <c r="BHT28" s="29"/>
      <c r="BHU28" s="29"/>
      <c r="BHV28" s="29"/>
      <c r="BHW28" s="73"/>
      <c r="BHX28" s="29"/>
      <c r="BHY28" s="29"/>
      <c r="BHZ28" s="29"/>
      <c r="BIA28" s="29"/>
      <c r="BIB28" s="29"/>
      <c r="BIC28" s="136"/>
      <c r="BID28" s="29"/>
      <c r="BIE28" s="29"/>
      <c r="BIF28" s="29"/>
      <c r="BIG28" s="29"/>
      <c r="BIH28" s="29"/>
      <c r="BII28" s="73"/>
      <c r="BIJ28" s="67"/>
      <c r="BIK28" s="67"/>
      <c r="BIL28" s="67"/>
      <c r="BIM28" s="67"/>
      <c r="BIN28" s="29"/>
      <c r="BIO28" s="136"/>
      <c r="BIP28" s="29"/>
      <c r="BIQ28" s="29"/>
      <c r="BIR28" s="29"/>
      <c r="BIS28" s="29"/>
      <c r="BIT28" s="29"/>
      <c r="BIU28" s="73"/>
      <c r="BIV28" s="29"/>
      <c r="BIW28" s="29"/>
      <c r="BIX28" s="29"/>
      <c r="BIY28" s="29"/>
      <c r="BIZ28" s="29"/>
      <c r="BJA28" s="136"/>
      <c r="BJB28" s="29"/>
      <c r="BJC28" s="29"/>
      <c r="BJD28" s="29"/>
      <c r="BJE28" s="29"/>
      <c r="BJF28" s="29"/>
      <c r="BJG28" s="73"/>
      <c r="BJH28" s="29"/>
      <c r="BJI28" s="29"/>
      <c r="BJJ28" s="29"/>
      <c r="BJK28" s="29"/>
      <c r="BJL28" s="29"/>
      <c r="BJM28" s="30"/>
      <c r="BJN28" s="90"/>
    </row>
    <row r="29" spans="1:1626" ht="20.100000000000001" customHeight="1" x14ac:dyDescent="0.25">
      <c r="A29" s="100" t="s">
        <v>18</v>
      </c>
      <c r="B29" s="63" t="str">
        <f>IF(LEN(C43)=0,"",C43)</f>
        <v>Dev - Tests</v>
      </c>
      <c r="C29" s="207" t="s">
        <v>69</v>
      </c>
      <c r="D29" s="146" t="str">
        <f t="shared" si="0"/>
        <v>1h30min</v>
      </c>
      <c r="E29" s="31">
        <v>18</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169"/>
      <c r="BO29" s="170"/>
      <c r="BP29" s="170"/>
      <c r="BQ29" s="170"/>
      <c r="BR29" s="171"/>
      <c r="BS29" s="172"/>
      <c r="BT29" s="171"/>
      <c r="BU29" s="171"/>
      <c r="BV29" s="171"/>
      <c r="BW29" s="171"/>
      <c r="BX29" s="171"/>
      <c r="BY29" s="173"/>
      <c r="BZ29" s="171"/>
      <c r="CA29" s="171"/>
      <c r="CB29" s="171"/>
      <c r="CC29" s="171"/>
      <c r="CD29" s="171"/>
      <c r="CE29" s="176"/>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32"/>
      <c r="BHG29" s="64"/>
      <c r="BHH29" s="64"/>
      <c r="BHI29" s="64"/>
      <c r="BHJ29" s="33"/>
      <c r="BHK29" s="132"/>
      <c r="BHL29" s="33"/>
      <c r="BHM29" s="33"/>
      <c r="BHN29" s="33"/>
      <c r="BHO29" s="33"/>
      <c r="BHP29" s="33"/>
      <c r="BHQ29" s="137"/>
      <c r="BHR29" s="33"/>
      <c r="BHS29" s="33"/>
      <c r="BHT29" s="33"/>
      <c r="BHU29" s="33"/>
      <c r="BHV29" s="33"/>
      <c r="BHW29" s="74"/>
      <c r="BHX29" s="33"/>
      <c r="BHY29" s="33"/>
      <c r="BHZ29" s="33"/>
      <c r="BIA29" s="33"/>
      <c r="BIB29" s="33"/>
      <c r="BIC29" s="137"/>
      <c r="BID29" s="33"/>
      <c r="BIE29" s="33"/>
      <c r="BIF29" s="33"/>
      <c r="BIG29" s="33"/>
      <c r="BIH29" s="33"/>
      <c r="BII29" s="74"/>
      <c r="BIJ29" s="64"/>
      <c r="BIK29" s="64"/>
      <c r="BIL29" s="64"/>
      <c r="BIM29" s="64"/>
      <c r="BIN29" s="33"/>
      <c r="BIO29" s="137"/>
      <c r="BIP29" s="33"/>
      <c r="BIQ29" s="33"/>
      <c r="BIR29" s="33"/>
      <c r="BIS29" s="33"/>
      <c r="BIT29" s="33"/>
      <c r="BIU29" s="74"/>
      <c r="BIV29" s="33"/>
      <c r="BIW29" s="33"/>
      <c r="BIX29" s="33"/>
      <c r="BIY29" s="33"/>
      <c r="BIZ29" s="33"/>
      <c r="BJA29" s="137"/>
      <c r="BJB29" s="33"/>
      <c r="BJC29" s="33"/>
      <c r="BJD29" s="33"/>
      <c r="BJE29" s="33"/>
      <c r="BJF29" s="33"/>
      <c r="BJG29" s="74"/>
      <c r="BJH29" s="33"/>
      <c r="BJI29" s="33"/>
      <c r="BJJ29" s="33"/>
      <c r="BJK29" s="33"/>
      <c r="BJL29" s="33"/>
      <c r="BJM29" s="34"/>
      <c r="BJN29" s="90"/>
    </row>
    <row r="30" spans="1:1626" ht="20.100000000000001" customHeight="1" x14ac:dyDescent="0.3">
      <c r="A30" s="100" t="s">
        <v>19</v>
      </c>
      <c r="B30" s="63" t="str">
        <f>IF(LEN(C45)=0,"",C45)</f>
        <v>Dev - Base de données</v>
      </c>
      <c r="C30" s="208"/>
      <c r="D30" s="148" t="str">
        <f t="shared" si="0"/>
        <v>1h30min</v>
      </c>
      <c r="E30" s="35">
        <v>18</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182"/>
      <c r="BO30" s="183"/>
      <c r="BP30" s="183"/>
      <c r="BQ30" s="183"/>
      <c r="BR30" s="184"/>
      <c r="BS30" s="185"/>
      <c r="BT30" s="184"/>
      <c r="BU30" s="184"/>
      <c r="BV30" s="184"/>
      <c r="BW30" s="184"/>
      <c r="BX30" s="184"/>
      <c r="BY30" s="186"/>
      <c r="BZ30" s="184"/>
      <c r="CA30" s="184"/>
      <c r="CB30" s="184"/>
      <c r="CC30" s="184"/>
      <c r="CD30" s="184"/>
      <c r="CE30" s="187"/>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36"/>
      <c r="BHG30" s="65"/>
      <c r="BHH30" s="65"/>
      <c r="BHI30" s="65"/>
      <c r="BHJ30" s="37"/>
      <c r="BHK30" s="133"/>
      <c r="BHL30" s="37"/>
      <c r="BHM30" s="37"/>
      <c r="BHN30" s="37"/>
      <c r="BHO30" s="37"/>
      <c r="BHP30" s="37"/>
      <c r="BHQ30" s="138"/>
      <c r="BHR30" s="37"/>
      <c r="BHS30" s="37"/>
      <c r="BHT30" s="37"/>
      <c r="BHU30" s="37"/>
      <c r="BHV30" s="37"/>
      <c r="BHW30" s="75"/>
      <c r="BHX30" s="37"/>
      <c r="BHY30" s="37"/>
      <c r="BHZ30" s="37"/>
      <c r="BIA30" s="37"/>
      <c r="BIB30" s="37"/>
      <c r="BIC30" s="138"/>
      <c r="BID30" s="37"/>
      <c r="BIE30" s="37"/>
      <c r="BIF30" s="37"/>
      <c r="BIG30" s="37"/>
      <c r="BIH30" s="37"/>
      <c r="BII30" s="75"/>
      <c r="BIJ30" s="65"/>
      <c r="BIK30" s="65"/>
      <c r="BIL30" s="65"/>
      <c r="BIM30" s="65"/>
      <c r="BIN30" s="37"/>
      <c r="BIO30" s="138"/>
      <c r="BIP30" s="37"/>
      <c r="BIQ30" s="37"/>
      <c r="BIR30" s="37"/>
      <c r="BIS30" s="37"/>
      <c r="BIT30" s="37"/>
      <c r="BIU30" s="75"/>
      <c r="BIV30" s="37"/>
      <c r="BIW30" s="37"/>
      <c r="BIX30" s="37"/>
      <c r="BIY30" s="37"/>
      <c r="BIZ30" s="37"/>
      <c r="BJA30" s="138"/>
      <c r="BJB30" s="37"/>
      <c r="BJC30" s="37"/>
      <c r="BJD30" s="37"/>
      <c r="BJE30" s="37"/>
      <c r="BJF30" s="37"/>
      <c r="BJG30" s="75"/>
      <c r="BJH30" s="37"/>
      <c r="BJI30" s="37"/>
      <c r="BJJ30" s="37"/>
      <c r="BJK30" s="37"/>
      <c r="BJL30" s="37"/>
      <c r="BJM30" s="38"/>
      <c r="BJN30" s="90"/>
    </row>
    <row r="31" spans="1:1626" ht="20.100000000000001" customHeight="1" x14ac:dyDescent="0.25">
      <c r="A31" s="100" t="s">
        <v>18</v>
      </c>
      <c r="B31" s="63" t="str">
        <f>IF(LEN(C47)=0,"",C47)</f>
        <v/>
      </c>
      <c r="C31" s="207" t="s">
        <v>96</v>
      </c>
      <c r="D31" s="146" t="str">
        <f t="shared" si="0"/>
        <v>6h</v>
      </c>
      <c r="E31" s="39">
        <v>72</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40"/>
      <c r="KU31" s="66"/>
      <c r="KV31" s="66"/>
      <c r="KW31" s="66"/>
      <c r="KX31" s="41"/>
      <c r="KY31" s="134"/>
      <c r="KZ31" s="41"/>
      <c r="LA31" s="41"/>
      <c r="LB31" s="41"/>
      <c r="LC31" s="41"/>
      <c r="LD31" s="41"/>
      <c r="LE31" s="139"/>
      <c r="LF31" s="41"/>
      <c r="LG31" s="41"/>
      <c r="LH31" s="41"/>
      <c r="LI31" s="41"/>
      <c r="LJ31" s="41"/>
      <c r="LK31" s="76"/>
      <c r="LL31" s="41"/>
      <c r="LM31" s="41"/>
      <c r="LN31" s="41"/>
      <c r="LO31" s="41"/>
      <c r="LP31" s="41"/>
      <c r="LQ31" s="139"/>
      <c r="LR31" s="41"/>
      <c r="LS31" s="41"/>
      <c r="LT31" s="41"/>
      <c r="LU31" s="41"/>
      <c r="LV31" s="41"/>
      <c r="LW31" s="76"/>
      <c r="LX31" s="66"/>
      <c r="LY31" s="66"/>
      <c r="LZ31" s="66"/>
      <c r="MA31" s="66"/>
      <c r="MB31" s="41"/>
      <c r="MC31" s="139"/>
      <c r="MD31" s="41"/>
      <c r="ME31" s="41"/>
      <c r="MF31" s="41"/>
      <c r="MG31" s="41"/>
      <c r="MH31" s="41"/>
      <c r="MI31" s="76"/>
      <c r="MJ31" s="41"/>
      <c r="MK31" s="41"/>
      <c r="ML31" s="41"/>
      <c r="MM31" s="41"/>
      <c r="MN31" s="41"/>
      <c r="MO31" s="139"/>
      <c r="MP31" s="41"/>
      <c r="MQ31" s="41"/>
      <c r="MR31" s="41"/>
      <c r="MS31" s="41"/>
      <c r="MT31" s="41"/>
      <c r="MU31" s="76"/>
      <c r="MV31" s="41"/>
      <c r="MW31" s="41"/>
      <c r="MX31" s="41"/>
      <c r="MY31" s="41"/>
      <c r="MZ31" s="41"/>
      <c r="NA31" s="42"/>
      <c r="NB31" s="40"/>
      <c r="NC31" s="66"/>
      <c r="ND31" s="66"/>
      <c r="NE31" s="66"/>
      <c r="NF31" s="41"/>
      <c r="NG31" s="134"/>
      <c r="NH31" s="41"/>
      <c r="NI31" s="41"/>
      <c r="NJ31" s="41"/>
      <c r="NK31" s="41"/>
      <c r="NL31" s="41"/>
      <c r="NM31" s="139"/>
      <c r="NN31" s="41"/>
      <c r="NO31" s="41"/>
      <c r="NP31" s="41"/>
      <c r="NQ31" s="41"/>
      <c r="NR31" s="41"/>
      <c r="NS31" s="76"/>
      <c r="NT31" s="41"/>
      <c r="NU31" s="41"/>
      <c r="NV31" s="41"/>
      <c r="NW31" s="41"/>
      <c r="NX31" s="41"/>
      <c r="NY31" s="139"/>
      <c r="NZ31" s="41"/>
      <c r="OA31" s="41"/>
      <c r="OB31" s="41"/>
      <c r="OC31" s="41"/>
      <c r="OD31" s="41"/>
      <c r="OE31" s="76"/>
      <c r="OF31" s="66"/>
      <c r="OG31" s="66"/>
      <c r="OH31" s="66"/>
      <c r="OI31" s="66"/>
      <c r="OJ31" s="41"/>
      <c r="OK31" s="139"/>
      <c r="OL31" s="41"/>
      <c r="OM31" s="41"/>
      <c r="ON31" s="41"/>
      <c r="OO31" s="41"/>
      <c r="OP31" s="41"/>
      <c r="OQ31" s="76"/>
      <c r="OR31" s="41"/>
      <c r="OS31" s="41"/>
      <c r="OT31" s="41"/>
      <c r="OU31" s="41"/>
      <c r="OV31" s="41"/>
      <c r="OW31" s="139"/>
      <c r="OX31" s="41"/>
      <c r="OY31" s="41"/>
      <c r="OZ31" s="41"/>
      <c r="PA31" s="41"/>
      <c r="PB31" s="41"/>
      <c r="PC31" s="76"/>
      <c r="PD31" s="41"/>
      <c r="PE31" s="41"/>
      <c r="PF31" s="41"/>
      <c r="PG31" s="41"/>
      <c r="PH31" s="41"/>
      <c r="PI31" s="42"/>
      <c r="PJ31" s="40"/>
      <c r="PK31" s="66"/>
      <c r="PL31" s="66"/>
      <c r="PM31" s="66"/>
      <c r="PN31" s="41"/>
      <c r="PO31" s="134"/>
      <c r="PP31" s="41"/>
      <c r="PQ31" s="41"/>
      <c r="PR31" s="41"/>
      <c r="PS31" s="41"/>
      <c r="PT31" s="41"/>
      <c r="PU31" s="139"/>
      <c r="PV31" s="41"/>
      <c r="PW31" s="41"/>
      <c r="PX31" s="41"/>
      <c r="PY31" s="41"/>
      <c r="PZ31" s="41"/>
      <c r="QA31" s="76"/>
      <c r="QB31" s="41"/>
      <c r="QC31" s="41"/>
      <c r="QD31" s="41"/>
      <c r="QE31" s="41"/>
      <c r="QF31" s="41"/>
      <c r="QG31" s="139"/>
      <c r="QH31" s="41"/>
      <c r="QI31" s="41"/>
      <c r="QJ31" s="41"/>
      <c r="QK31" s="41"/>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178"/>
      <c r="BEY31" s="179"/>
      <c r="BEZ31" s="179"/>
      <c r="BFA31" s="179"/>
      <c r="BFB31" s="174"/>
      <c r="BFC31" s="180"/>
      <c r="BFD31" s="174"/>
      <c r="BFE31" s="174"/>
      <c r="BFF31" s="174"/>
      <c r="BFG31" s="174"/>
      <c r="BFH31" s="174"/>
      <c r="BFI31" s="177"/>
      <c r="BFJ31" s="174"/>
      <c r="BFK31" s="174"/>
      <c r="BFL31" s="174"/>
      <c r="BFM31" s="174"/>
      <c r="BFN31" s="174"/>
      <c r="BFO31" s="175"/>
      <c r="BFP31" s="174"/>
      <c r="BFQ31" s="174"/>
      <c r="BFR31" s="174"/>
      <c r="BFS31" s="174"/>
      <c r="BFT31" s="174"/>
      <c r="BFU31" s="177"/>
      <c r="BFV31" s="174"/>
      <c r="BFW31" s="174"/>
      <c r="BFX31" s="174"/>
      <c r="BFY31" s="174"/>
      <c r="BFZ31" s="174"/>
      <c r="BGA31" s="175"/>
      <c r="BGB31" s="179"/>
      <c r="BGC31" s="179"/>
      <c r="BGD31" s="179"/>
      <c r="BGE31" s="179"/>
      <c r="BGF31" s="174"/>
      <c r="BGG31" s="177"/>
      <c r="BGH31" s="174"/>
      <c r="BGI31" s="174"/>
      <c r="BGJ31" s="174"/>
      <c r="BGK31" s="174"/>
      <c r="BGL31" s="174"/>
      <c r="BGM31" s="175"/>
      <c r="BGN31" s="174"/>
      <c r="BGO31" s="174"/>
      <c r="BGP31" s="174"/>
      <c r="BGQ31" s="41"/>
      <c r="BGR31" s="41"/>
      <c r="BGS31" s="139"/>
      <c r="BGT31" s="41"/>
      <c r="BGU31" s="41"/>
      <c r="BGV31" s="41"/>
      <c r="BGW31" s="41"/>
      <c r="BGX31" s="41"/>
      <c r="BGY31" s="76"/>
      <c r="BGZ31" s="41"/>
      <c r="BHA31" s="41"/>
      <c r="BHB31" s="41"/>
      <c r="BHC31" s="41"/>
      <c r="BHD31" s="41"/>
      <c r="BHE31" s="42"/>
      <c r="BHF31" s="40"/>
      <c r="BHG31" s="66"/>
      <c r="BHH31" s="66"/>
      <c r="BHI31" s="66"/>
      <c r="BHJ31" s="41"/>
      <c r="BHK31" s="180"/>
      <c r="BHL31" s="174"/>
      <c r="BHM31" s="174"/>
      <c r="BHN31" s="174"/>
      <c r="BHO31" s="174"/>
      <c r="BHP31" s="174"/>
      <c r="BHQ31" s="177"/>
      <c r="BHR31" s="174"/>
      <c r="BHS31" s="174"/>
      <c r="BHT31" s="174"/>
      <c r="BHU31" s="174"/>
      <c r="BHV31" s="174"/>
      <c r="BHW31" s="175"/>
      <c r="BHX31" s="174"/>
      <c r="BHY31" s="174"/>
      <c r="BHZ31" s="174"/>
      <c r="BIA31" s="174"/>
      <c r="BIB31" s="174"/>
      <c r="BIC31" s="177"/>
      <c r="BID31" s="174"/>
      <c r="BIE31" s="174"/>
      <c r="BIF31" s="174"/>
      <c r="BIG31" s="174"/>
      <c r="BIH31" s="174"/>
      <c r="BII31" s="175"/>
      <c r="BIJ31" s="179"/>
      <c r="BIK31" s="179"/>
      <c r="BIL31" s="66"/>
      <c r="BIM31" s="66"/>
      <c r="BIN31" s="41"/>
      <c r="BIO31" s="139"/>
      <c r="BIP31" s="41"/>
      <c r="BIQ31" s="41"/>
      <c r="BIR31" s="41"/>
      <c r="BIS31" s="41"/>
      <c r="BIT31" s="41"/>
      <c r="BIU31" s="76"/>
      <c r="BIV31" s="41"/>
      <c r="BIW31" s="41"/>
      <c r="BIX31" s="41"/>
      <c r="BIY31" s="41"/>
      <c r="BIZ31" s="41"/>
      <c r="BJA31" s="139"/>
      <c r="BJB31" s="41"/>
      <c r="BJC31" s="41"/>
      <c r="BJD31" s="41"/>
      <c r="BJE31" s="41"/>
      <c r="BJF31" s="41"/>
      <c r="BJG31" s="76"/>
      <c r="BJH31" s="41"/>
      <c r="BJI31" s="41"/>
      <c r="BJJ31" s="41"/>
      <c r="BJK31" s="41"/>
      <c r="BJL31" s="41"/>
      <c r="BJM31" s="42"/>
      <c r="BJN31" s="90"/>
    </row>
    <row r="32" spans="1:1626" ht="20.100000000000001" customHeight="1" x14ac:dyDescent="0.3">
      <c r="A32" s="100" t="s">
        <v>19</v>
      </c>
      <c r="B32" s="63" t="str">
        <f>IF(LEN(C49)=0,"",C49)</f>
        <v/>
      </c>
      <c r="C32" s="208"/>
      <c r="D32" s="148"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28"/>
      <c r="BHG32" s="67"/>
      <c r="BHH32" s="67"/>
      <c r="BHI32" s="67"/>
      <c r="BHJ32" s="29"/>
      <c r="BHK32" s="131"/>
      <c r="BHL32" s="29"/>
      <c r="BHM32" s="29"/>
      <c r="BHN32" s="29"/>
      <c r="BHO32" s="29"/>
      <c r="BHP32" s="29"/>
      <c r="BHQ32" s="136"/>
      <c r="BHR32" s="29"/>
      <c r="BHS32" s="29"/>
      <c r="BHT32" s="29"/>
      <c r="BHU32" s="29"/>
      <c r="BHV32" s="29"/>
      <c r="BHW32" s="73"/>
      <c r="BHX32" s="29"/>
      <c r="BHY32" s="29"/>
      <c r="BHZ32" s="29"/>
      <c r="BIA32" s="29"/>
      <c r="BIB32" s="29"/>
      <c r="BIC32" s="136"/>
      <c r="BID32" s="29"/>
      <c r="BIE32" s="29"/>
      <c r="BIF32" s="29"/>
      <c r="BIG32" s="29"/>
      <c r="BIH32" s="29"/>
      <c r="BII32" s="73"/>
      <c r="BIJ32" s="67"/>
      <c r="BIK32" s="67"/>
      <c r="BIL32" s="67"/>
      <c r="BIM32" s="67"/>
      <c r="BIN32" s="29"/>
      <c r="BIO32" s="136"/>
      <c r="BIP32" s="29"/>
      <c r="BIQ32" s="29"/>
      <c r="BIR32" s="29"/>
      <c r="BIS32" s="29"/>
      <c r="BIT32" s="29"/>
      <c r="BIU32" s="73"/>
      <c r="BIV32" s="29"/>
      <c r="BIW32" s="29"/>
      <c r="BIX32" s="29"/>
      <c r="BIY32" s="29"/>
      <c r="BIZ32" s="29"/>
      <c r="BJA32" s="136"/>
      <c r="BJB32" s="29"/>
      <c r="BJC32" s="29"/>
      <c r="BJD32" s="29"/>
      <c r="BJE32" s="29"/>
      <c r="BJF32" s="29"/>
      <c r="BJG32" s="73"/>
      <c r="BJH32" s="29"/>
      <c r="BJI32" s="29"/>
      <c r="BJJ32" s="29"/>
      <c r="BJK32" s="29"/>
      <c r="BJL32" s="29"/>
      <c r="BJM32" s="30"/>
      <c r="BJN32" s="90"/>
    </row>
    <row r="33" spans="1:1626" ht="20.100000000000001" customHeight="1" x14ac:dyDescent="0.25">
      <c r="A33" s="100" t="s">
        <v>18</v>
      </c>
      <c r="B33" s="63" t="str">
        <f>IF(LEN(C51)=0,"",C51)</f>
        <v/>
      </c>
      <c r="C33" s="207" t="s">
        <v>55</v>
      </c>
      <c r="D33" s="146" t="str">
        <f t="shared" si="0"/>
        <v>7h40min</v>
      </c>
      <c r="E33" s="31">
        <v>92</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169"/>
      <c r="RS33" s="170"/>
      <c r="RT33" s="170"/>
      <c r="RU33" s="170"/>
      <c r="RV33" s="171"/>
      <c r="RW33" s="172"/>
      <c r="RX33" s="171"/>
      <c r="RY33" s="171"/>
      <c r="RZ33" s="171"/>
      <c r="SA33" s="171"/>
      <c r="SB33" s="171"/>
      <c r="SC33" s="173"/>
      <c r="SD33" s="171"/>
      <c r="SE33" s="171"/>
      <c r="SF33" s="171"/>
      <c r="SG33" s="171"/>
      <c r="SH33" s="171"/>
      <c r="SI33" s="176"/>
      <c r="SJ33" s="171"/>
      <c r="SK33" s="171"/>
      <c r="SL33" s="171"/>
      <c r="SM33" s="171"/>
      <c r="SN33" s="171"/>
      <c r="SO33" s="173"/>
      <c r="SP33" s="171"/>
      <c r="SQ33" s="171"/>
      <c r="SR33" s="171"/>
      <c r="SS33" s="171"/>
      <c r="ST33" s="171"/>
      <c r="SU33" s="176"/>
      <c r="SV33" s="170"/>
      <c r="SW33" s="170"/>
      <c r="SX33" s="170"/>
      <c r="SY33" s="170"/>
      <c r="SZ33" s="171"/>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72"/>
      <c r="UF33" s="171"/>
      <c r="UG33" s="171"/>
      <c r="UH33" s="171"/>
      <c r="UI33" s="171"/>
      <c r="UJ33" s="171"/>
      <c r="UK33" s="173"/>
      <c r="UL33" s="171"/>
      <c r="UM33" s="171"/>
      <c r="UN33" s="171"/>
      <c r="UO33" s="171"/>
      <c r="UP33" s="171"/>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169"/>
      <c r="WI33" s="170"/>
      <c r="WJ33" s="170"/>
      <c r="WK33" s="170"/>
      <c r="WL33" s="171"/>
      <c r="WM33" s="172"/>
      <c r="WN33" s="171"/>
      <c r="WO33" s="171"/>
      <c r="WP33" s="171"/>
      <c r="WQ33" s="171"/>
      <c r="WR33" s="171"/>
      <c r="WS33" s="173"/>
      <c r="WT33" s="171"/>
      <c r="WU33" s="171"/>
      <c r="WV33" s="171"/>
      <c r="WW33" s="171"/>
      <c r="WX33" s="171"/>
      <c r="WY33" s="176"/>
      <c r="WZ33" s="171"/>
      <c r="XA33" s="171"/>
      <c r="XB33" s="171"/>
      <c r="XC33" s="171"/>
      <c r="XD33" s="171"/>
      <c r="XE33" s="173"/>
      <c r="XF33" s="171"/>
      <c r="XG33" s="171"/>
      <c r="XH33" s="171"/>
      <c r="XI33" s="171"/>
      <c r="XJ33" s="171"/>
      <c r="XK33" s="176"/>
      <c r="XL33" s="170"/>
      <c r="XM33" s="170"/>
      <c r="XN33" s="170"/>
      <c r="XO33" s="170"/>
      <c r="XP33" s="171"/>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72"/>
      <c r="YV33" s="171"/>
      <c r="YW33" s="171"/>
      <c r="YX33" s="171"/>
      <c r="YY33" s="171"/>
      <c r="YZ33" s="171"/>
      <c r="ZA33" s="173"/>
      <c r="ZB33" s="171"/>
      <c r="ZC33" s="171"/>
      <c r="ZD33" s="171"/>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32"/>
      <c r="BHG33" s="64"/>
      <c r="BHH33" s="64"/>
      <c r="BHI33" s="64"/>
      <c r="BHJ33" s="33"/>
      <c r="BHK33" s="132"/>
      <c r="BHL33" s="33"/>
      <c r="BHM33" s="33"/>
      <c r="BHN33" s="33"/>
      <c r="BHO33" s="33"/>
      <c r="BHP33" s="33"/>
      <c r="BHQ33" s="137"/>
      <c r="BHR33" s="33"/>
      <c r="BHS33" s="33"/>
      <c r="BHT33" s="33"/>
      <c r="BHU33" s="33"/>
      <c r="BHV33" s="33"/>
      <c r="BHW33" s="74"/>
      <c r="BHX33" s="33"/>
      <c r="BHY33" s="33"/>
      <c r="BHZ33" s="33"/>
      <c r="BIA33" s="33"/>
      <c r="BIB33" s="33"/>
      <c r="BIC33" s="137"/>
      <c r="BID33" s="33"/>
      <c r="BIE33" s="33"/>
      <c r="BIF33" s="33"/>
      <c r="BIG33" s="33"/>
      <c r="BIH33" s="33"/>
      <c r="BII33" s="74"/>
      <c r="BIJ33" s="64"/>
      <c r="BIK33" s="64"/>
      <c r="BIL33" s="64"/>
      <c r="BIM33" s="64"/>
      <c r="BIN33" s="33"/>
      <c r="BIO33" s="137"/>
      <c r="BIP33" s="33"/>
      <c r="BIQ33" s="33"/>
      <c r="BIR33" s="33"/>
      <c r="BIS33" s="33"/>
      <c r="BIT33" s="33"/>
      <c r="BIU33" s="74"/>
      <c r="BIV33" s="33"/>
      <c r="BIW33" s="33"/>
      <c r="BIX33" s="33"/>
      <c r="BIY33" s="33"/>
      <c r="BIZ33" s="33"/>
      <c r="BJA33" s="137"/>
      <c r="BJB33" s="33"/>
      <c r="BJC33" s="33"/>
      <c r="BJD33" s="33"/>
      <c r="BJE33" s="33"/>
      <c r="BJF33" s="33"/>
      <c r="BJG33" s="74"/>
      <c r="BJH33" s="33"/>
      <c r="BJI33" s="33"/>
      <c r="BJJ33" s="33"/>
      <c r="BJK33" s="33"/>
      <c r="BJL33" s="33"/>
      <c r="BJM33" s="34"/>
      <c r="BJN33" s="90"/>
    </row>
    <row r="34" spans="1:1626" ht="20.100000000000001" customHeight="1" x14ac:dyDescent="0.3">
      <c r="A34" s="100" t="s">
        <v>19</v>
      </c>
      <c r="B34" s="63" t="str">
        <f>IF(LEN(C53)=0,"",C53)</f>
        <v/>
      </c>
      <c r="C34" s="208"/>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36"/>
      <c r="BHG34" s="65"/>
      <c r="BHH34" s="65"/>
      <c r="BHI34" s="65"/>
      <c r="BHJ34" s="37"/>
      <c r="BHK34" s="133"/>
      <c r="BHL34" s="37"/>
      <c r="BHM34" s="37"/>
      <c r="BHN34" s="37"/>
      <c r="BHO34" s="37"/>
      <c r="BHP34" s="37"/>
      <c r="BHQ34" s="138"/>
      <c r="BHR34" s="37"/>
      <c r="BHS34" s="37"/>
      <c r="BHT34" s="37"/>
      <c r="BHU34" s="37"/>
      <c r="BHV34" s="37"/>
      <c r="BHW34" s="75"/>
      <c r="BHX34" s="37"/>
      <c r="BHY34" s="37"/>
      <c r="BHZ34" s="37"/>
      <c r="BIA34" s="37"/>
      <c r="BIB34" s="37"/>
      <c r="BIC34" s="138"/>
      <c r="BID34" s="37"/>
      <c r="BIE34" s="37"/>
      <c r="BIF34" s="37"/>
      <c r="BIG34" s="37"/>
      <c r="BIH34" s="37"/>
      <c r="BII34" s="75"/>
      <c r="BIJ34" s="65"/>
      <c r="BIK34" s="65"/>
      <c r="BIL34" s="65"/>
      <c r="BIM34" s="65"/>
      <c r="BIN34" s="37"/>
      <c r="BIO34" s="138"/>
      <c r="BIP34" s="37"/>
      <c r="BIQ34" s="37"/>
      <c r="BIR34" s="37"/>
      <c r="BIS34" s="37"/>
      <c r="BIT34" s="37"/>
      <c r="BIU34" s="75"/>
      <c r="BIV34" s="37"/>
      <c r="BIW34" s="37"/>
      <c r="BIX34" s="37"/>
      <c r="BIY34" s="37"/>
      <c r="BIZ34" s="37"/>
      <c r="BJA34" s="138"/>
      <c r="BJB34" s="37"/>
      <c r="BJC34" s="37"/>
      <c r="BJD34" s="37"/>
      <c r="BJE34" s="37"/>
      <c r="BJF34" s="37"/>
      <c r="BJG34" s="75"/>
      <c r="BJH34" s="37"/>
      <c r="BJI34" s="37"/>
      <c r="BJJ34" s="37"/>
      <c r="BJK34" s="37"/>
      <c r="BJL34" s="37"/>
      <c r="BJM34" s="38"/>
      <c r="BJN34" s="90"/>
    </row>
    <row r="35" spans="1:1626" ht="20.100000000000001" customHeight="1" x14ac:dyDescent="0.25">
      <c r="A35" s="100" t="s">
        <v>18</v>
      </c>
      <c r="B35" s="63" t="str">
        <f>IF(LEN(C55)=0,"",C55)</f>
        <v/>
      </c>
      <c r="C35" s="207" t="s">
        <v>56</v>
      </c>
      <c r="D35" s="146" t="str">
        <f t="shared" si="0"/>
        <v>9h</v>
      </c>
      <c r="E35" s="39">
        <v>108</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40"/>
      <c r="WI35" s="66"/>
      <c r="WJ35" s="66"/>
      <c r="WK35" s="66"/>
      <c r="WL35" s="41"/>
      <c r="WM35" s="134"/>
      <c r="WN35" s="41"/>
      <c r="WO35" s="41"/>
      <c r="WP35" s="41"/>
      <c r="WQ35" s="41"/>
      <c r="WR35" s="41"/>
      <c r="WS35" s="139"/>
      <c r="WT35" s="41"/>
      <c r="WU35" s="41"/>
      <c r="WV35" s="41"/>
      <c r="WW35" s="41"/>
      <c r="WX35" s="41"/>
      <c r="WY35" s="76"/>
      <c r="WZ35" s="41"/>
      <c r="XA35" s="41"/>
      <c r="XB35" s="41"/>
      <c r="XC35" s="41"/>
      <c r="XD35" s="41"/>
      <c r="XE35" s="139"/>
      <c r="XF35" s="41"/>
      <c r="XG35" s="41"/>
      <c r="XH35" s="41"/>
      <c r="XI35" s="41"/>
      <c r="XJ35" s="41"/>
      <c r="XK35" s="76"/>
      <c r="XL35" s="66"/>
      <c r="XM35" s="66"/>
      <c r="XN35" s="66"/>
      <c r="XO35" s="66"/>
      <c r="XP35" s="41"/>
      <c r="XQ35" s="139"/>
      <c r="XR35" s="41"/>
      <c r="XS35" s="41"/>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178"/>
      <c r="AAY35" s="179"/>
      <c r="AAZ35" s="179"/>
      <c r="ABA35" s="179"/>
      <c r="ABB35" s="174"/>
      <c r="ABC35" s="180"/>
      <c r="ABD35" s="174"/>
      <c r="ABE35" s="174"/>
      <c r="ABF35" s="174"/>
      <c r="ABG35" s="174"/>
      <c r="ABH35" s="174"/>
      <c r="ABI35" s="177"/>
      <c r="ABJ35" s="174"/>
      <c r="ABK35" s="174"/>
      <c r="ABL35" s="174"/>
      <c r="ABM35" s="174"/>
      <c r="ABN35" s="174"/>
      <c r="ABO35" s="175"/>
      <c r="ABP35" s="174"/>
      <c r="ABQ35" s="174"/>
      <c r="ABR35" s="174"/>
      <c r="ABS35" s="174"/>
      <c r="ABT35" s="174"/>
      <c r="ABU35" s="177"/>
      <c r="ABV35" s="174"/>
      <c r="ABW35" s="174"/>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80"/>
      <c r="ADL35" s="174"/>
      <c r="ADM35" s="174"/>
      <c r="ADN35" s="174"/>
      <c r="ADO35" s="174"/>
      <c r="ADP35" s="174"/>
      <c r="ADQ35" s="177"/>
      <c r="ADR35" s="174"/>
      <c r="ADS35" s="174"/>
      <c r="ADT35" s="174"/>
      <c r="ADU35" s="174"/>
      <c r="ADV35" s="174"/>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179"/>
      <c r="AFR35" s="174"/>
      <c r="AFS35" s="180"/>
      <c r="AFT35" s="174"/>
      <c r="AFU35" s="174"/>
      <c r="AFV35" s="174"/>
      <c r="AFW35" s="174"/>
      <c r="AFX35" s="174"/>
      <c r="AFY35" s="177"/>
      <c r="AFZ35" s="174"/>
      <c r="AGA35" s="174"/>
      <c r="AGB35" s="174"/>
      <c r="AGC35" s="174"/>
      <c r="AGD35" s="174"/>
      <c r="AGE35" s="175"/>
      <c r="AGF35" s="174"/>
      <c r="AGG35" s="174"/>
      <c r="AGH35" s="174"/>
      <c r="AGI35" s="174"/>
      <c r="AGJ35" s="174"/>
      <c r="AGK35" s="177"/>
      <c r="AGL35" s="174"/>
      <c r="AGM35" s="174"/>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178"/>
      <c r="AHW35" s="179"/>
      <c r="AHX35" s="179"/>
      <c r="AHY35" s="179"/>
      <c r="AHZ35" s="174"/>
      <c r="AIA35" s="180"/>
      <c r="AIB35" s="174"/>
      <c r="AIC35" s="174"/>
      <c r="AID35" s="174"/>
      <c r="AIE35" s="174"/>
      <c r="AIF35" s="174"/>
      <c r="AIG35" s="177"/>
      <c r="AIH35" s="174"/>
      <c r="AII35" s="174"/>
      <c r="AIJ35" s="174"/>
      <c r="AIK35" s="174"/>
      <c r="AIL35" s="174"/>
      <c r="AIM35" s="175"/>
      <c r="AIN35" s="174"/>
      <c r="AIO35" s="174"/>
      <c r="AIP35" s="174"/>
      <c r="AIQ35" s="174"/>
      <c r="AIR35" s="174"/>
      <c r="AIS35" s="177"/>
      <c r="AIT35" s="174"/>
      <c r="AIU35" s="174"/>
      <c r="AIV35" s="174"/>
      <c r="AIW35" s="174"/>
      <c r="AIX35" s="174"/>
      <c r="AIY35" s="175"/>
      <c r="AIZ35" s="179"/>
      <c r="AJA35" s="179"/>
      <c r="AJB35" s="179"/>
      <c r="AJC35" s="179"/>
      <c r="AJD35" s="174"/>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80"/>
      <c r="AKJ35" s="174"/>
      <c r="AKK35" s="174"/>
      <c r="AKL35" s="174"/>
      <c r="AKM35" s="174"/>
      <c r="AKN35" s="174"/>
      <c r="AKO35" s="177"/>
      <c r="AKP35" s="174"/>
      <c r="AKQ35" s="174"/>
      <c r="AKR35" s="174"/>
      <c r="AKS35" s="174"/>
      <c r="AKT35" s="174"/>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40"/>
      <c r="BHG35" s="66"/>
      <c r="BHH35" s="66"/>
      <c r="BHI35" s="66"/>
      <c r="BHJ35" s="41"/>
      <c r="BHK35" s="134"/>
      <c r="BHL35" s="41"/>
      <c r="BHM35" s="41"/>
      <c r="BHN35" s="41"/>
      <c r="BHO35" s="41"/>
      <c r="BHP35" s="41"/>
      <c r="BHQ35" s="139"/>
      <c r="BHR35" s="41"/>
      <c r="BHS35" s="41"/>
      <c r="BHT35" s="41"/>
      <c r="BHU35" s="41"/>
      <c r="BHV35" s="41"/>
      <c r="BHW35" s="76"/>
      <c r="BHX35" s="41"/>
      <c r="BHY35" s="41"/>
      <c r="BHZ35" s="41"/>
      <c r="BIA35" s="41"/>
      <c r="BIB35" s="41"/>
      <c r="BIC35" s="139"/>
      <c r="BID35" s="41"/>
      <c r="BIE35" s="41"/>
      <c r="BIF35" s="41"/>
      <c r="BIG35" s="41"/>
      <c r="BIH35" s="41"/>
      <c r="BII35" s="76"/>
      <c r="BIJ35" s="66"/>
      <c r="BIK35" s="66"/>
      <c r="BIL35" s="66"/>
      <c r="BIM35" s="66"/>
      <c r="BIN35" s="41"/>
      <c r="BIO35" s="139"/>
      <c r="BIP35" s="41"/>
      <c r="BIQ35" s="41"/>
      <c r="BIR35" s="41"/>
      <c r="BIS35" s="41"/>
      <c r="BIT35" s="41"/>
      <c r="BIU35" s="76"/>
      <c r="BIV35" s="41"/>
      <c r="BIW35" s="41"/>
      <c r="BIX35" s="41"/>
      <c r="BIY35" s="41"/>
      <c r="BIZ35" s="41"/>
      <c r="BJA35" s="139"/>
      <c r="BJB35" s="41"/>
      <c r="BJC35" s="41"/>
      <c r="BJD35" s="41"/>
      <c r="BJE35" s="41"/>
      <c r="BJF35" s="41"/>
      <c r="BJG35" s="76"/>
      <c r="BJH35" s="41"/>
      <c r="BJI35" s="41"/>
      <c r="BJJ35" s="41"/>
      <c r="BJK35" s="41"/>
      <c r="BJL35" s="41"/>
      <c r="BJM35" s="42"/>
      <c r="BJN35" s="90"/>
    </row>
    <row r="36" spans="1:1626" ht="20.100000000000001" customHeight="1" x14ac:dyDescent="0.25">
      <c r="A36" s="100" t="s">
        <v>19</v>
      </c>
      <c r="B36" s="63" t="str">
        <f>IF(LEN(C57)=0,"",C57)</f>
        <v/>
      </c>
      <c r="C36" s="209"/>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28"/>
      <c r="BHG36" s="67"/>
      <c r="BHH36" s="67"/>
      <c r="BHI36" s="67"/>
      <c r="BHJ36" s="29"/>
      <c r="BHK36" s="131"/>
      <c r="BHL36" s="29"/>
      <c r="BHM36" s="29"/>
      <c r="BHN36" s="29"/>
      <c r="BHO36" s="29"/>
      <c r="BHP36" s="29"/>
      <c r="BHQ36" s="136"/>
      <c r="BHR36" s="29"/>
      <c r="BHS36" s="29"/>
      <c r="BHT36" s="29"/>
      <c r="BHU36" s="29"/>
      <c r="BHV36" s="29"/>
      <c r="BHW36" s="73"/>
      <c r="BHX36" s="29"/>
      <c r="BHY36" s="29"/>
      <c r="BHZ36" s="29"/>
      <c r="BIA36" s="29"/>
      <c r="BIB36" s="29"/>
      <c r="BIC36" s="136"/>
      <c r="BID36" s="29"/>
      <c r="BIE36" s="29"/>
      <c r="BIF36" s="29"/>
      <c r="BIG36" s="29"/>
      <c r="BIH36" s="29"/>
      <c r="BII36" s="73"/>
      <c r="BIJ36" s="67"/>
      <c r="BIK36" s="67"/>
      <c r="BIL36" s="67"/>
      <c r="BIM36" s="67"/>
      <c r="BIN36" s="29"/>
      <c r="BIO36" s="136"/>
      <c r="BIP36" s="29"/>
      <c r="BIQ36" s="29"/>
      <c r="BIR36" s="29"/>
      <c r="BIS36" s="29"/>
      <c r="BIT36" s="29"/>
      <c r="BIU36" s="73"/>
      <c r="BIV36" s="29"/>
      <c r="BIW36" s="29"/>
      <c r="BIX36" s="29"/>
      <c r="BIY36" s="29"/>
      <c r="BIZ36" s="29"/>
      <c r="BJA36" s="136"/>
      <c r="BJB36" s="29"/>
      <c r="BJC36" s="29"/>
      <c r="BJD36" s="29"/>
      <c r="BJE36" s="29"/>
      <c r="BJF36" s="29"/>
      <c r="BJG36" s="73"/>
      <c r="BJH36" s="29"/>
      <c r="BJI36" s="29"/>
      <c r="BJJ36" s="29"/>
      <c r="BJK36" s="29"/>
      <c r="BJL36" s="29"/>
      <c r="BJM36" s="30"/>
      <c r="BJN36" s="90"/>
    </row>
    <row r="37" spans="1:1626" ht="20.100000000000001" customHeight="1" x14ac:dyDescent="0.25">
      <c r="A37" s="100" t="s">
        <v>18</v>
      </c>
      <c r="B37" s="63" t="str">
        <f>IF(LEN(C59)=0,"",C59)</f>
        <v/>
      </c>
      <c r="C37" s="207" t="s">
        <v>57</v>
      </c>
      <c r="D37" s="146" t="str">
        <f t="shared" si="0"/>
        <v>11h5min</v>
      </c>
      <c r="E37" s="31">
        <v>133</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171"/>
      <c r="GZ37" s="171"/>
      <c r="HA37" s="173"/>
      <c r="HB37" s="171"/>
      <c r="HC37" s="171"/>
      <c r="HD37" s="171"/>
      <c r="HE37" s="171"/>
      <c r="HF37" s="171"/>
      <c r="HG37" s="176"/>
      <c r="HH37" s="170"/>
      <c r="HI37" s="170"/>
      <c r="HJ37" s="170"/>
      <c r="HK37" s="170"/>
      <c r="HL37" s="171"/>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169"/>
      <c r="IM37" s="170"/>
      <c r="IN37" s="170"/>
      <c r="IO37" s="170"/>
      <c r="IP37" s="171"/>
      <c r="IQ37" s="172"/>
      <c r="IR37" s="171"/>
      <c r="IS37" s="171"/>
      <c r="IT37" s="171"/>
      <c r="IU37" s="171"/>
      <c r="IV37" s="171"/>
      <c r="IW37" s="173"/>
      <c r="IX37" s="171"/>
      <c r="IY37" s="171"/>
      <c r="IZ37" s="171"/>
      <c r="JA37" s="171"/>
      <c r="JB37" s="171"/>
      <c r="JC37" s="176"/>
      <c r="JD37" s="171"/>
      <c r="JE37" s="171"/>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32"/>
      <c r="UA37" s="64"/>
      <c r="UB37" s="64"/>
      <c r="UC37" s="64"/>
      <c r="UD37" s="33"/>
      <c r="UE37" s="132"/>
      <c r="UF37" s="33"/>
      <c r="UG37" s="33"/>
      <c r="UH37" s="33"/>
      <c r="UI37" s="33"/>
      <c r="UJ37" s="33"/>
      <c r="UK37" s="137"/>
      <c r="UL37" s="33"/>
      <c r="UM37" s="33"/>
      <c r="UN37" s="33"/>
      <c r="UO37" s="33"/>
      <c r="UP37" s="33"/>
      <c r="UQ37" s="74"/>
      <c r="UR37" s="33"/>
      <c r="US37" s="33"/>
      <c r="UT37" s="33"/>
      <c r="UU37" s="33"/>
      <c r="UV37" s="33"/>
      <c r="UW37" s="137"/>
      <c r="UX37" s="33"/>
      <c r="UY37" s="33"/>
      <c r="UZ37" s="33"/>
      <c r="VA37" s="33"/>
      <c r="VB37" s="33"/>
      <c r="VC37" s="74"/>
      <c r="VD37" s="64"/>
      <c r="VE37" s="64"/>
      <c r="VF37" s="64"/>
      <c r="VG37" s="64"/>
      <c r="VH37" s="33"/>
      <c r="VI37" s="137"/>
      <c r="VJ37" s="33"/>
      <c r="VK37" s="33"/>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33"/>
      <c r="ZI37" s="33"/>
      <c r="ZJ37" s="33"/>
      <c r="ZK37" s="33"/>
      <c r="ZL37" s="33"/>
      <c r="ZM37" s="137"/>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33"/>
      <c r="ABW37" s="33"/>
      <c r="ABX37" s="33"/>
      <c r="ABY37" s="33"/>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72"/>
      <c r="AOZ37" s="171"/>
      <c r="APA37" s="171"/>
      <c r="APB37" s="171"/>
      <c r="APC37" s="171"/>
      <c r="APD37" s="171"/>
      <c r="APE37" s="173"/>
      <c r="APF37" s="171"/>
      <c r="APG37" s="171"/>
      <c r="APH37" s="171"/>
      <c r="API37" s="171"/>
      <c r="APJ37" s="171"/>
      <c r="APK37" s="176"/>
      <c r="APL37" s="171"/>
      <c r="APM37" s="171"/>
      <c r="APN37" s="171"/>
      <c r="APO37" s="171"/>
      <c r="APP37" s="171"/>
      <c r="APQ37" s="173"/>
      <c r="APR37" s="171"/>
      <c r="APS37" s="171"/>
      <c r="APT37" s="171"/>
      <c r="APU37" s="171"/>
      <c r="APV37" s="171"/>
      <c r="APW37" s="176"/>
      <c r="APX37" s="170"/>
      <c r="APY37" s="170"/>
      <c r="APZ37" s="170"/>
      <c r="AQA37" s="170"/>
      <c r="AQB37" s="171"/>
      <c r="AQC37" s="173"/>
      <c r="AQD37" s="171"/>
      <c r="AQE37" s="171"/>
      <c r="AQF37" s="171"/>
      <c r="AQG37" s="171"/>
      <c r="AQH37" s="171"/>
      <c r="AQI37" s="74"/>
      <c r="AQJ37" s="33"/>
      <c r="AQK37" s="33"/>
      <c r="AQL37" s="33"/>
      <c r="AQM37" s="33"/>
      <c r="AQN37" s="33"/>
      <c r="AQO37" s="137"/>
      <c r="AQP37" s="33"/>
      <c r="AQQ37" s="33"/>
      <c r="AQR37" s="33"/>
      <c r="AQS37" s="33"/>
      <c r="AQT37" s="33"/>
      <c r="AQU37" s="74"/>
      <c r="AQV37" s="33"/>
      <c r="AQW37" s="33"/>
      <c r="AQX37" s="33"/>
      <c r="AQY37" s="33"/>
      <c r="AQZ37" s="33"/>
      <c r="ARA37" s="34"/>
      <c r="ARB37" s="169"/>
      <c r="ARC37" s="170"/>
      <c r="ARD37" s="170"/>
      <c r="ARE37" s="170"/>
      <c r="ARF37" s="171"/>
      <c r="ARG37" s="172"/>
      <c r="ARH37" s="171"/>
      <c r="ARI37" s="171"/>
      <c r="ARJ37" s="171"/>
      <c r="ARK37" s="171"/>
      <c r="ARL37" s="171"/>
      <c r="ARM37" s="173"/>
      <c r="ARN37" s="171"/>
      <c r="ARO37" s="171"/>
      <c r="ARP37" s="171"/>
      <c r="ARQ37" s="171"/>
      <c r="ARR37" s="171"/>
      <c r="ARS37" s="176"/>
      <c r="ART37" s="171"/>
      <c r="ARU37" s="171"/>
      <c r="ARV37" s="171"/>
      <c r="ARW37" s="171"/>
      <c r="ARX37" s="171"/>
      <c r="ARY37" s="173"/>
      <c r="ARZ37" s="171"/>
      <c r="ASA37" s="171"/>
      <c r="ASB37" s="171"/>
      <c r="ASC37" s="171"/>
      <c r="ASD37" s="171"/>
      <c r="ASE37" s="176"/>
      <c r="ASF37" s="170"/>
      <c r="ASG37" s="170"/>
      <c r="ASH37" s="170"/>
      <c r="ASI37" s="170"/>
      <c r="ASJ37" s="171"/>
      <c r="ASK37" s="173"/>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72"/>
      <c r="ATP37" s="171"/>
      <c r="ATQ37" s="171"/>
      <c r="ATR37" s="171"/>
      <c r="ATS37" s="171"/>
      <c r="ATT37" s="171"/>
      <c r="ATU37" s="173"/>
      <c r="ATV37" s="171"/>
      <c r="ATW37" s="171"/>
      <c r="ATX37" s="171"/>
      <c r="ATY37" s="171"/>
      <c r="ATZ37" s="171"/>
      <c r="AUA37" s="176"/>
      <c r="AUB37" s="171"/>
      <c r="AUC37" s="171"/>
      <c r="AUD37" s="171"/>
      <c r="AUE37" s="171"/>
      <c r="AUF37" s="171"/>
      <c r="AUG37" s="173"/>
      <c r="AUH37" s="171"/>
      <c r="AUI37" s="171"/>
      <c r="AUJ37" s="171"/>
      <c r="AUK37" s="171"/>
      <c r="AUL37" s="171"/>
      <c r="AUM37" s="176"/>
      <c r="AUN37" s="170"/>
      <c r="AUO37" s="170"/>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32"/>
      <c r="BHG37" s="64"/>
      <c r="BHH37" s="64"/>
      <c r="BHI37" s="64"/>
      <c r="BHJ37" s="33"/>
      <c r="BHK37" s="132"/>
      <c r="BHL37" s="33"/>
      <c r="BHM37" s="33"/>
      <c r="BHN37" s="33"/>
      <c r="BHO37" s="33"/>
      <c r="BHP37" s="33"/>
      <c r="BHQ37" s="137"/>
      <c r="BHR37" s="33"/>
      <c r="BHS37" s="33"/>
      <c r="BHT37" s="33"/>
      <c r="BHU37" s="33"/>
      <c r="BHV37" s="33"/>
      <c r="BHW37" s="74"/>
      <c r="BHX37" s="33"/>
      <c r="BHY37" s="33"/>
      <c r="BHZ37" s="33"/>
      <c r="BIA37" s="33"/>
      <c r="BIB37" s="33"/>
      <c r="BIC37" s="137"/>
      <c r="BID37" s="33"/>
      <c r="BIE37" s="33"/>
      <c r="BIF37" s="33"/>
      <c r="BIG37" s="33"/>
      <c r="BIH37" s="33"/>
      <c r="BII37" s="74"/>
      <c r="BIJ37" s="64"/>
      <c r="BIK37" s="64"/>
      <c r="BIL37" s="64"/>
      <c r="BIM37" s="64"/>
      <c r="BIN37" s="33"/>
      <c r="BIO37" s="137"/>
      <c r="BIP37" s="33"/>
      <c r="BIQ37" s="33"/>
      <c r="BIR37" s="33"/>
      <c r="BIS37" s="33"/>
      <c r="BIT37" s="33"/>
      <c r="BIU37" s="74"/>
      <c r="BIV37" s="33"/>
      <c r="BIW37" s="33"/>
      <c r="BIX37" s="33"/>
      <c r="BIY37" s="33"/>
      <c r="BIZ37" s="33"/>
      <c r="BJA37" s="137"/>
      <c r="BJB37" s="33"/>
      <c r="BJC37" s="33"/>
      <c r="BJD37" s="33"/>
      <c r="BJE37" s="33"/>
      <c r="BJF37" s="33"/>
      <c r="BJG37" s="74"/>
      <c r="BJH37" s="33"/>
      <c r="BJI37" s="33"/>
      <c r="BJJ37" s="33"/>
      <c r="BJK37" s="33"/>
      <c r="BJL37" s="33"/>
      <c r="BJM37" s="34"/>
      <c r="BJN37" s="90"/>
    </row>
    <row r="38" spans="1:1626" ht="20.100000000000001" customHeight="1" x14ac:dyDescent="0.3">
      <c r="A38" s="100" t="s">
        <v>19</v>
      </c>
      <c r="B38" s="63" t="str">
        <f>IF(LEN(C61)=0,"",C61)</f>
        <v/>
      </c>
      <c r="C38" s="208"/>
      <c r="D38" s="148" t="str">
        <f t="shared" si="0"/>
        <v>10h25min</v>
      </c>
      <c r="E38" s="35">
        <v>125</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184"/>
      <c r="GT38" s="184"/>
      <c r="GU38" s="187"/>
      <c r="GV38" s="184"/>
      <c r="GW38" s="184"/>
      <c r="GX38" s="184"/>
      <c r="GY38" s="184"/>
      <c r="GZ38" s="184"/>
      <c r="HA38" s="186"/>
      <c r="HB38" s="184"/>
      <c r="HC38" s="184"/>
      <c r="HD38" s="184"/>
      <c r="HE38" s="184"/>
      <c r="HF38" s="184"/>
      <c r="HG38" s="187"/>
      <c r="HH38" s="183"/>
      <c r="HI38" s="183"/>
      <c r="HJ38" s="183"/>
      <c r="HK38" s="183"/>
      <c r="HL38" s="184"/>
      <c r="HM38" s="186"/>
      <c r="HN38" s="184"/>
      <c r="HO38" s="184"/>
      <c r="HP38" s="184"/>
      <c r="HQ38" s="184"/>
      <c r="HR38" s="184"/>
      <c r="HS38" s="187"/>
      <c r="HT38" s="184"/>
      <c r="HU38" s="184"/>
      <c r="HV38" s="184"/>
      <c r="HW38" s="37"/>
      <c r="HX38" s="37"/>
      <c r="HY38" s="138"/>
      <c r="HZ38" s="37"/>
      <c r="IA38" s="37"/>
      <c r="IB38" s="37"/>
      <c r="IC38" s="37"/>
      <c r="ID38" s="37"/>
      <c r="IE38" s="75"/>
      <c r="IF38" s="37"/>
      <c r="IG38" s="37"/>
      <c r="IH38" s="37"/>
      <c r="II38" s="37"/>
      <c r="IJ38" s="37"/>
      <c r="IK38" s="38"/>
      <c r="IL38" s="182"/>
      <c r="IM38" s="183"/>
      <c r="IN38" s="183"/>
      <c r="IO38" s="183"/>
      <c r="IP38" s="184"/>
      <c r="IQ38" s="185"/>
      <c r="IR38" s="184"/>
      <c r="IS38" s="184"/>
      <c r="IT38" s="184"/>
      <c r="IU38" s="184"/>
      <c r="IV38" s="184"/>
      <c r="IW38" s="186"/>
      <c r="IX38" s="184"/>
      <c r="IY38" s="184"/>
      <c r="IZ38" s="184"/>
      <c r="JA38" s="184"/>
      <c r="JB38" s="184"/>
      <c r="JC38" s="187"/>
      <c r="JD38" s="184"/>
      <c r="JE38" s="184"/>
      <c r="JF38" s="184"/>
      <c r="JG38" s="184"/>
      <c r="JH38" s="184"/>
      <c r="JI38" s="186"/>
      <c r="JJ38" s="184"/>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182"/>
      <c r="RS38" s="183"/>
      <c r="RT38" s="183"/>
      <c r="RU38" s="183"/>
      <c r="RV38" s="184"/>
      <c r="RW38" s="185"/>
      <c r="RX38" s="184"/>
      <c r="RY38" s="184"/>
      <c r="RZ38" s="184"/>
      <c r="SA38" s="184"/>
      <c r="SB38" s="184"/>
      <c r="SC38" s="186"/>
      <c r="SD38" s="184"/>
      <c r="SE38" s="184"/>
      <c r="SF38" s="184"/>
      <c r="SG38" s="184"/>
      <c r="SH38" s="184"/>
      <c r="SI38" s="187"/>
      <c r="SJ38" s="184"/>
      <c r="SK38" s="184"/>
      <c r="SL38" s="184"/>
      <c r="SM38" s="184"/>
      <c r="SN38" s="184"/>
      <c r="SO38" s="186"/>
      <c r="SP38" s="184"/>
      <c r="SQ38" s="184"/>
      <c r="SR38" s="184"/>
      <c r="SS38" s="184"/>
      <c r="ST38" s="184"/>
      <c r="SU38" s="187"/>
      <c r="SV38" s="183"/>
      <c r="SW38" s="183"/>
      <c r="SX38" s="183"/>
      <c r="SY38" s="183"/>
      <c r="SZ38" s="184"/>
      <c r="TA38" s="186"/>
      <c r="TB38" s="184"/>
      <c r="TC38" s="184"/>
      <c r="TD38" s="184"/>
      <c r="TE38" s="184"/>
      <c r="TF38" s="184"/>
      <c r="TG38" s="187"/>
      <c r="TH38" s="184"/>
      <c r="TI38" s="184"/>
      <c r="TJ38" s="184"/>
      <c r="TK38" s="37"/>
      <c r="TL38" s="37"/>
      <c r="TM38" s="138"/>
      <c r="TN38" s="37"/>
      <c r="TO38" s="37"/>
      <c r="TP38" s="37"/>
      <c r="TQ38" s="37"/>
      <c r="TR38" s="37"/>
      <c r="TS38" s="75"/>
      <c r="TT38" s="37"/>
      <c r="TU38" s="37"/>
      <c r="TV38" s="37"/>
      <c r="TW38" s="37"/>
      <c r="TX38" s="37"/>
      <c r="TY38" s="38"/>
      <c r="TZ38" s="182"/>
      <c r="UA38" s="183"/>
      <c r="UB38" s="183"/>
      <c r="UC38" s="183"/>
      <c r="UD38" s="184"/>
      <c r="UE38" s="185"/>
      <c r="UF38" s="184"/>
      <c r="UG38" s="184"/>
      <c r="UH38" s="184"/>
      <c r="UI38" s="184"/>
      <c r="UJ38" s="184"/>
      <c r="UK38" s="186"/>
      <c r="UL38" s="184"/>
      <c r="UM38" s="184"/>
      <c r="UN38" s="184"/>
      <c r="UO38" s="184"/>
      <c r="UP38" s="184"/>
      <c r="UQ38" s="187"/>
      <c r="UR38" s="184"/>
      <c r="US38" s="184"/>
      <c r="UT38" s="184"/>
      <c r="UU38" s="184"/>
      <c r="UV38" s="184"/>
      <c r="UW38" s="186"/>
      <c r="UX38" s="184"/>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36"/>
      <c r="BHG38" s="65"/>
      <c r="BHH38" s="65"/>
      <c r="BHI38" s="65"/>
      <c r="BHJ38" s="37"/>
      <c r="BHK38" s="133"/>
      <c r="BHL38" s="37"/>
      <c r="BHM38" s="37"/>
      <c r="BHN38" s="37"/>
      <c r="BHO38" s="37"/>
      <c r="BHP38" s="37"/>
      <c r="BHQ38" s="138"/>
      <c r="BHR38" s="37"/>
      <c r="BHS38" s="37"/>
      <c r="BHT38" s="37"/>
      <c r="BHU38" s="37"/>
      <c r="BHV38" s="37"/>
      <c r="BHW38" s="75"/>
      <c r="BHX38" s="37"/>
      <c r="BHY38" s="37"/>
      <c r="BHZ38" s="37"/>
      <c r="BIA38" s="37"/>
      <c r="BIB38" s="37"/>
      <c r="BIC38" s="138"/>
      <c r="BID38" s="37"/>
      <c r="BIE38" s="37"/>
      <c r="BIF38" s="37"/>
      <c r="BIG38" s="37"/>
      <c r="BIH38" s="37"/>
      <c r="BII38" s="75"/>
      <c r="BIJ38" s="65"/>
      <c r="BIK38" s="65"/>
      <c r="BIL38" s="65"/>
      <c r="BIM38" s="65"/>
      <c r="BIN38" s="37"/>
      <c r="BIO38" s="138"/>
      <c r="BIP38" s="37"/>
      <c r="BIQ38" s="37"/>
      <c r="BIR38" s="37"/>
      <c r="BIS38" s="37"/>
      <c r="BIT38" s="37"/>
      <c r="BIU38" s="75"/>
      <c r="BIV38" s="37"/>
      <c r="BIW38" s="37"/>
      <c r="BIX38" s="37"/>
      <c r="BIY38" s="37"/>
      <c r="BIZ38" s="37"/>
      <c r="BJA38" s="138"/>
      <c r="BJB38" s="37"/>
      <c r="BJC38" s="37"/>
      <c r="BJD38" s="37"/>
      <c r="BJE38" s="37"/>
      <c r="BJF38" s="37"/>
      <c r="BJG38" s="75"/>
      <c r="BJH38" s="37"/>
      <c r="BJI38" s="37"/>
      <c r="BJJ38" s="37"/>
      <c r="BJK38" s="37"/>
      <c r="BJL38" s="37"/>
      <c r="BJM38" s="38"/>
      <c r="BJN38" s="90"/>
    </row>
    <row r="39" spans="1:1626" ht="20.100000000000001" customHeight="1" x14ac:dyDescent="0.25">
      <c r="A39" s="100" t="s">
        <v>18</v>
      </c>
      <c r="B39" s="63" t="str">
        <f>IF(LEN(C63)=0,"",C63)</f>
        <v/>
      </c>
      <c r="C39" s="207" t="s">
        <v>43</v>
      </c>
      <c r="D39" s="146" t="str">
        <f t="shared" si="0"/>
        <v>10h50min</v>
      </c>
      <c r="E39" s="39">
        <v>130</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77"/>
      <c r="TB39" s="174"/>
      <c r="TC39" s="174"/>
      <c r="TD39" s="174"/>
      <c r="TE39" s="174"/>
      <c r="TF39" s="174"/>
      <c r="TG39" s="175"/>
      <c r="TH39" s="174"/>
      <c r="TI39" s="174"/>
      <c r="TJ39" s="174"/>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175"/>
      <c r="UR39" s="174"/>
      <c r="US39" s="174"/>
      <c r="UT39" s="174"/>
      <c r="UU39" s="174"/>
      <c r="UV39" s="174"/>
      <c r="UW39" s="177"/>
      <c r="UX39" s="174"/>
      <c r="UY39" s="174"/>
      <c r="UZ39" s="174"/>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77"/>
      <c r="XR39" s="174"/>
      <c r="XS39" s="174"/>
      <c r="XT39" s="174"/>
      <c r="XU39" s="174"/>
      <c r="XV39" s="174"/>
      <c r="XW39" s="175"/>
      <c r="XX39" s="174"/>
      <c r="XY39" s="174"/>
      <c r="XZ39" s="174"/>
      <c r="YA39" s="41"/>
      <c r="YB39" s="41"/>
      <c r="YC39" s="139"/>
      <c r="YD39" s="41"/>
      <c r="YE39" s="41"/>
      <c r="YF39" s="41"/>
      <c r="YG39" s="41"/>
      <c r="YH39" s="41"/>
      <c r="YI39" s="76"/>
      <c r="YJ39" s="41"/>
      <c r="YK39" s="41"/>
      <c r="YL39" s="41"/>
      <c r="YM39" s="41"/>
      <c r="YN39" s="41"/>
      <c r="YO39" s="42"/>
      <c r="YP39" s="40"/>
      <c r="YQ39" s="66"/>
      <c r="YR39" s="66"/>
      <c r="YS39" s="66"/>
      <c r="YT39" s="41"/>
      <c r="YU39" s="134"/>
      <c r="YV39" s="41"/>
      <c r="YW39" s="41"/>
      <c r="YX39" s="41"/>
      <c r="YY39" s="41"/>
      <c r="YZ39" s="41"/>
      <c r="ZA39" s="139"/>
      <c r="ZB39" s="41"/>
      <c r="ZC39" s="41"/>
      <c r="ZD39" s="41"/>
      <c r="ZE39" s="174"/>
      <c r="ZF39" s="174"/>
      <c r="ZG39" s="175"/>
      <c r="ZH39" s="174"/>
      <c r="ZI39" s="174"/>
      <c r="ZJ39" s="174"/>
      <c r="ZK39" s="174"/>
      <c r="ZL39" s="174"/>
      <c r="ZM39" s="177"/>
      <c r="ZN39" s="174"/>
      <c r="ZO39" s="174"/>
      <c r="ZP39" s="174"/>
      <c r="ZQ39" s="174"/>
      <c r="ZR39" s="174"/>
      <c r="ZS39" s="175"/>
      <c r="ZT39" s="179"/>
      <c r="ZU39" s="179"/>
      <c r="ZV39" s="66"/>
      <c r="ZW39" s="66"/>
      <c r="ZX39" s="41"/>
      <c r="ZY39" s="139"/>
      <c r="ZZ39" s="41"/>
      <c r="AAA39" s="41"/>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174"/>
      <c r="ABY39" s="174"/>
      <c r="ABZ39" s="174"/>
      <c r="ACA39" s="175"/>
      <c r="ACB39" s="179"/>
      <c r="ACC39" s="179"/>
      <c r="ACD39" s="179"/>
      <c r="ACE39" s="179"/>
      <c r="ACF39" s="174"/>
      <c r="ACG39" s="177"/>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175"/>
      <c r="ADX39" s="174"/>
      <c r="ADY39" s="174"/>
      <c r="ADZ39" s="174"/>
      <c r="AEA39" s="174"/>
      <c r="AEB39" s="174"/>
      <c r="AEC39" s="177"/>
      <c r="AED39" s="174"/>
      <c r="AEE39" s="174"/>
      <c r="AEF39" s="174"/>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174"/>
      <c r="AGO39" s="174"/>
      <c r="AGP39" s="174"/>
      <c r="AGQ39" s="175"/>
      <c r="AGR39" s="179"/>
      <c r="AGS39" s="179"/>
      <c r="AGT39" s="179"/>
      <c r="AGU39" s="179"/>
      <c r="AGV39" s="174"/>
      <c r="AGW39" s="177"/>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77"/>
      <c r="AJF39" s="174"/>
      <c r="AJG39" s="174"/>
      <c r="AJH39" s="174"/>
      <c r="AJI39" s="174"/>
      <c r="AJJ39" s="174"/>
      <c r="AJK39" s="175"/>
      <c r="AJL39" s="174"/>
      <c r="AJM39" s="174"/>
      <c r="AJN39" s="174"/>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175"/>
      <c r="AKV39" s="174"/>
      <c r="AKW39" s="174"/>
      <c r="AKX39" s="174"/>
      <c r="AKY39" s="174"/>
      <c r="AKZ39" s="174"/>
      <c r="ALA39" s="177"/>
      <c r="ALB39" s="174"/>
      <c r="ALC39" s="174"/>
      <c r="ALD39" s="174"/>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179"/>
      <c r="AVV39" s="174"/>
      <c r="AVW39" s="180"/>
      <c r="AVX39" s="174"/>
      <c r="AVY39" s="174"/>
      <c r="AVZ39" s="174"/>
      <c r="AWA39" s="174"/>
      <c r="AWB39" s="174"/>
      <c r="AWC39" s="177"/>
      <c r="AWD39" s="174"/>
      <c r="AWE39" s="174"/>
      <c r="AWF39" s="174"/>
      <c r="AWG39" s="174"/>
      <c r="AWH39" s="174"/>
      <c r="AWI39" s="175"/>
      <c r="AWJ39" s="174"/>
      <c r="AWK39" s="174"/>
      <c r="AWL39" s="174"/>
      <c r="AWM39" s="174"/>
      <c r="AWN39" s="174"/>
      <c r="AWO39" s="177"/>
      <c r="AWP39" s="174"/>
      <c r="AWQ39" s="174"/>
      <c r="AWR39" s="174"/>
      <c r="AWS39" s="174"/>
      <c r="AWT39" s="174"/>
      <c r="AWU39" s="175"/>
      <c r="AWV39" s="179"/>
      <c r="AWW39" s="179"/>
      <c r="AWX39" s="179"/>
      <c r="AWY39" s="179"/>
      <c r="AWZ39" s="174"/>
      <c r="AXA39" s="177"/>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40"/>
      <c r="BHG39" s="66"/>
      <c r="BHH39" s="66"/>
      <c r="BHI39" s="66"/>
      <c r="BHJ39" s="41"/>
      <c r="BHK39" s="134"/>
      <c r="BHL39" s="41"/>
      <c r="BHM39" s="41"/>
      <c r="BHN39" s="41"/>
      <c r="BHO39" s="41"/>
      <c r="BHP39" s="41"/>
      <c r="BHQ39" s="139"/>
      <c r="BHR39" s="41"/>
      <c r="BHS39" s="41"/>
      <c r="BHT39" s="41"/>
      <c r="BHU39" s="41"/>
      <c r="BHV39" s="41"/>
      <c r="BHW39" s="76"/>
      <c r="BHX39" s="41"/>
      <c r="BHY39" s="41"/>
      <c r="BHZ39" s="41"/>
      <c r="BIA39" s="41"/>
      <c r="BIB39" s="41"/>
      <c r="BIC39" s="139"/>
      <c r="BID39" s="41"/>
      <c r="BIE39" s="41"/>
      <c r="BIF39" s="41"/>
      <c r="BIG39" s="41"/>
      <c r="BIH39" s="41"/>
      <c r="BII39" s="76"/>
      <c r="BIJ39" s="66"/>
      <c r="BIK39" s="66"/>
      <c r="BIL39" s="66"/>
      <c r="BIM39" s="66"/>
      <c r="BIN39" s="41"/>
      <c r="BIO39" s="139"/>
      <c r="BIP39" s="41"/>
      <c r="BIQ39" s="41"/>
      <c r="BIR39" s="41"/>
      <c r="BIS39" s="41"/>
      <c r="BIT39" s="41"/>
      <c r="BIU39" s="76"/>
      <c r="BIV39" s="41"/>
      <c r="BIW39" s="41"/>
      <c r="BIX39" s="41"/>
      <c r="BIY39" s="41"/>
      <c r="BIZ39" s="41"/>
      <c r="BJA39" s="139"/>
      <c r="BJB39" s="41"/>
      <c r="BJC39" s="41"/>
      <c r="BJD39" s="41"/>
      <c r="BJE39" s="41"/>
      <c r="BJF39" s="41"/>
      <c r="BJG39" s="76"/>
      <c r="BJH39" s="41"/>
      <c r="BJI39" s="41"/>
      <c r="BJJ39" s="41"/>
      <c r="BJK39" s="41"/>
      <c r="BJL39" s="41"/>
      <c r="BJM39" s="42"/>
      <c r="BJN39" s="90"/>
    </row>
    <row r="40" spans="1:1626" ht="20.100000000000001" customHeight="1" x14ac:dyDescent="0.25">
      <c r="A40" s="100" t="s">
        <v>19</v>
      </c>
      <c r="B40" s="63" t="str">
        <f>IF(LEN(C65)=0,"",C65)</f>
        <v/>
      </c>
      <c r="C40" s="209"/>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28"/>
      <c r="BHG40" s="67"/>
      <c r="BHH40" s="67"/>
      <c r="BHI40" s="67"/>
      <c r="BHJ40" s="29"/>
      <c r="BHK40" s="131"/>
      <c r="BHL40" s="29"/>
      <c r="BHM40" s="29"/>
      <c r="BHN40" s="29"/>
      <c r="BHO40" s="29"/>
      <c r="BHP40" s="29"/>
      <c r="BHQ40" s="136"/>
      <c r="BHR40" s="29"/>
      <c r="BHS40" s="29"/>
      <c r="BHT40" s="29"/>
      <c r="BHU40" s="29"/>
      <c r="BHV40" s="29"/>
      <c r="BHW40" s="73"/>
      <c r="BHX40" s="29"/>
      <c r="BHY40" s="29"/>
      <c r="BHZ40" s="29"/>
      <c r="BIA40" s="29"/>
      <c r="BIB40" s="29"/>
      <c r="BIC40" s="136"/>
      <c r="BID40" s="29"/>
      <c r="BIE40" s="29"/>
      <c r="BIF40" s="29"/>
      <c r="BIG40" s="29"/>
      <c r="BIH40" s="29"/>
      <c r="BII40" s="73"/>
      <c r="BIJ40" s="67"/>
      <c r="BIK40" s="67"/>
      <c r="BIL40" s="67"/>
      <c r="BIM40" s="67"/>
      <c r="BIN40" s="29"/>
      <c r="BIO40" s="136"/>
      <c r="BIP40" s="29"/>
      <c r="BIQ40" s="29"/>
      <c r="BIR40" s="29"/>
      <c r="BIS40" s="29"/>
      <c r="BIT40" s="29"/>
      <c r="BIU40" s="73"/>
      <c r="BIV40" s="29"/>
      <c r="BIW40" s="29"/>
      <c r="BIX40" s="29"/>
      <c r="BIY40" s="29"/>
      <c r="BIZ40" s="29"/>
      <c r="BJA40" s="136"/>
      <c r="BJB40" s="29"/>
      <c r="BJC40" s="29"/>
      <c r="BJD40" s="29"/>
      <c r="BJE40" s="29"/>
      <c r="BJF40" s="29"/>
      <c r="BJG40" s="73"/>
      <c r="BJH40" s="29"/>
      <c r="BJI40" s="29"/>
      <c r="BJJ40" s="29"/>
      <c r="BJK40" s="29"/>
      <c r="BJL40" s="29"/>
      <c r="BJM40" s="30"/>
      <c r="BJN40" s="90"/>
    </row>
    <row r="41" spans="1:1626" ht="20.100000000000001" customHeight="1" x14ac:dyDescent="0.25">
      <c r="A41" s="100" t="s">
        <v>18</v>
      </c>
      <c r="B41" s="63" t="str">
        <f>IF(LEN(C67)=0,"",C67)</f>
        <v/>
      </c>
      <c r="C41" s="207" t="s">
        <v>44</v>
      </c>
      <c r="D41" s="146" t="str">
        <f t="shared" si="0"/>
        <v>1h30min</v>
      </c>
      <c r="E41" s="31">
        <v>18</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169"/>
      <c r="DW41" s="170"/>
      <c r="DX41" s="170"/>
      <c r="DY41" s="170"/>
      <c r="DZ41" s="171"/>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73"/>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170"/>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171"/>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64"/>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171"/>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32"/>
      <c r="AAY41" s="64"/>
      <c r="AAZ41" s="64"/>
      <c r="ABA41" s="64"/>
      <c r="ABB41" s="33"/>
      <c r="ABC41" s="132"/>
      <c r="ABD41" s="33"/>
      <c r="ABE41" s="33"/>
      <c r="ABF41" s="33"/>
      <c r="ABG41" s="33"/>
      <c r="ABH41" s="33"/>
      <c r="ABI41" s="137"/>
      <c r="ABJ41" s="33"/>
      <c r="ABK41" s="33"/>
      <c r="ABL41" s="33"/>
      <c r="ABM41" s="33"/>
      <c r="ABN41" s="33"/>
      <c r="ABO41" s="74"/>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171"/>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170"/>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32"/>
      <c r="AKE41" s="64"/>
      <c r="AKF41" s="64"/>
      <c r="AKG41" s="64"/>
      <c r="AKH41" s="171"/>
      <c r="AKI41" s="132"/>
      <c r="AKJ41" s="33"/>
      <c r="AKK41" s="33"/>
      <c r="AKL41" s="33"/>
      <c r="AKM41" s="33"/>
      <c r="AKN41" s="33"/>
      <c r="AKO41" s="137"/>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32"/>
      <c r="AOU41" s="64"/>
      <c r="AOV41" s="64"/>
      <c r="AOW41" s="64"/>
      <c r="AOX41" s="171"/>
      <c r="AOY41" s="132"/>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171"/>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170"/>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32"/>
      <c r="AYA41" s="64"/>
      <c r="AYB41" s="64"/>
      <c r="AYC41" s="64"/>
      <c r="AYD41" s="33"/>
      <c r="AYE41" s="132"/>
      <c r="AYF41" s="33"/>
      <c r="AYG41" s="33"/>
      <c r="AYH41" s="33"/>
      <c r="AYI41" s="33"/>
      <c r="AYJ41" s="33"/>
      <c r="AYK41" s="137"/>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171"/>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170"/>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32"/>
      <c r="BHG41" s="64"/>
      <c r="BHH41" s="64"/>
      <c r="BHI41" s="64"/>
      <c r="BHJ41" s="171"/>
      <c r="BHK41" s="132"/>
      <c r="BHL41" s="33"/>
      <c r="BHM41" s="33"/>
      <c r="BHN41" s="33"/>
      <c r="BHO41" s="33"/>
      <c r="BHP41" s="33"/>
      <c r="BHQ41" s="137"/>
      <c r="BHR41" s="33"/>
      <c r="BHS41" s="33"/>
      <c r="BHT41" s="33"/>
      <c r="BHU41" s="33"/>
      <c r="BHV41" s="33"/>
      <c r="BHW41" s="74"/>
      <c r="BHX41" s="33"/>
      <c r="BHY41" s="33"/>
      <c r="BHZ41" s="33"/>
      <c r="BIA41" s="33"/>
      <c r="BIB41" s="33"/>
      <c r="BIC41" s="137"/>
      <c r="BID41" s="33"/>
      <c r="BIE41" s="33"/>
      <c r="BIF41" s="33"/>
      <c r="BIG41" s="33"/>
      <c r="BIH41" s="33"/>
      <c r="BII41" s="74"/>
      <c r="BIJ41" s="64"/>
      <c r="BIK41" s="64"/>
      <c r="BIL41" s="64"/>
      <c r="BIM41" s="64"/>
      <c r="BIN41" s="33"/>
      <c r="BIO41" s="137"/>
      <c r="BIP41" s="33"/>
      <c r="BIQ41" s="33"/>
      <c r="BIR41" s="33"/>
      <c r="BIS41" s="33"/>
      <c r="BIT41" s="33"/>
      <c r="BIU41" s="74"/>
      <c r="BIV41" s="33"/>
      <c r="BIW41" s="33"/>
      <c r="BIX41" s="33"/>
      <c r="BIY41" s="33"/>
      <c r="BIZ41" s="33"/>
      <c r="BJA41" s="137"/>
      <c r="BJB41" s="33"/>
      <c r="BJC41" s="33"/>
      <c r="BJD41" s="33"/>
      <c r="BJE41" s="33"/>
      <c r="BJF41" s="33"/>
      <c r="BJG41" s="74"/>
      <c r="BJH41" s="33"/>
      <c r="BJI41" s="33"/>
      <c r="BJJ41" s="33"/>
      <c r="BJK41" s="33"/>
      <c r="BJL41" s="33"/>
      <c r="BJM41" s="34"/>
      <c r="BJN41" s="90"/>
    </row>
    <row r="42" spans="1:1626" ht="20.100000000000001" customHeight="1" x14ac:dyDescent="0.3">
      <c r="A42" s="100" t="s">
        <v>19</v>
      </c>
      <c r="B42" s="63" t="str">
        <f>IF(LEN(C69)=0,"",C69)</f>
        <v/>
      </c>
      <c r="C42" s="208"/>
      <c r="D42" s="148" t="str">
        <f t="shared" si="0"/>
        <v>0h15min</v>
      </c>
      <c r="E42" s="35">
        <v>3</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86"/>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86"/>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187"/>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36"/>
      <c r="BHG42" s="65"/>
      <c r="BHH42" s="65"/>
      <c r="BHI42" s="65"/>
      <c r="BHJ42" s="37"/>
      <c r="BHK42" s="133"/>
      <c r="BHL42" s="37"/>
      <c r="BHM42" s="37"/>
      <c r="BHN42" s="37"/>
      <c r="BHO42" s="37"/>
      <c r="BHP42" s="37"/>
      <c r="BHQ42" s="138"/>
      <c r="BHR42" s="37"/>
      <c r="BHS42" s="37"/>
      <c r="BHT42" s="37"/>
      <c r="BHU42" s="37"/>
      <c r="BHV42" s="37"/>
      <c r="BHW42" s="75"/>
      <c r="BHX42" s="37"/>
      <c r="BHY42" s="37"/>
      <c r="BHZ42" s="37"/>
      <c r="BIA42" s="37"/>
      <c r="BIB42" s="37"/>
      <c r="BIC42" s="138"/>
      <c r="BID42" s="37"/>
      <c r="BIE42" s="37"/>
      <c r="BIF42" s="37"/>
      <c r="BIG42" s="37"/>
      <c r="BIH42" s="37"/>
      <c r="BII42" s="75"/>
      <c r="BIJ42" s="65"/>
      <c r="BIK42" s="65"/>
      <c r="BIL42" s="65"/>
      <c r="BIM42" s="65"/>
      <c r="BIN42" s="37"/>
      <c r="BIO42" s="138"/>
      <c r="BIP42" s="37"/>
      <c r="BIQ42" s="37"/>
      <c r="BIR42" s="37"/>
      <c r="BIS42" s="37"/>
      <c r="BIT42" s="37"/>
      <c r="BIU42" s="75"/>
      <c r="BIV42" s="37"/>
      <c r="BIW42" s="37"/>
      <c r="BIX42" s="37"/>
      <c r="BIY42" s="37"/>
      <c r="BIZ42" s="37"/>
      <c r="BJA42" s="138"/>
      <c r="BJB42" s="37"/>
      <c r="BJC42" s="37"/>
      <c r="BJD42" s="37"/>
      <c r="BJE42" s="37"/>
      <c r="BJF42" s="37"/>
      <c r="BJG42" s="75"/>
      <c r="BJH42" s="37"/>
      <c r="BJI42" s="37"/>
      <c r="BJJ42" s="37"/>
      <c r="BJK42" s="37"/>
      <c r="BJL42" s="37"/>
      <c r="BJM42" s="38"/>
      <c r="BJN42" s="90"/>
    </row>
    <row r="43" spans="1:1626" ht="20.100000000000001" customHeight="1" x14ac:dyDescent="0.25">
      <c r="A43" s="100" t="s">
        <v>18</v>
      </c>
      <c r="B43" s="63" t="str">
        <f>IF(LEN(C71)=0,"",C71)</f>
        <v/>
      </c>
      <c r="C43" s="207" t="s">
        <v>73</v>
      </c>
      <c r="D43" s="146" t="str">
        <f t="shared" si="0"/>
        <v>3h45min</v>
      </c>
      <c r="E43" s="31">
        <v>45</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169"/>
      <c r="AMM43" s="170"/>
      <c r="AMN43" s="170"/>
      <c r="AMO43" s="170"/>
      <c r="AMP43" s="171"/>
      <c r="AMQ43" s="172"/>
      <c r="AMR43" s="171"/>
      <c r="AMS43" s="171"/>
      <c r="AMT43" s="171"/>
      <c r="AMU43" s="171"/>
      <c r="AMV43" s="171"/>
      <c r="AMW43" s="173"/>
      <c r="AMX43" s="171"/>
      <c r="AMY43" s="171"/>
      <c r="AMZ43" s="171"/>
      <c r="ANA43" s="171"/>
      <c r="ANB43" s="171"/>
      <c r="ANC43" s="176"/>
      <c r="AND43" s="171"/>
      <c r="ANE43" s="171"/>
      <c r="ANF43" s="171"/>
      <c r="ANG43" s="171"/>
      <c r="ANH43" s="171"/>
      <c r="ANI43" s="173"/>
      <c r="ANJ43" s="171"/>
      <c r="ANK43" s="171"/>
      <c r="ANL43" s="171"/>
      <c r="ANM43" s="171"/>
      <c r="ANN43" s="171"/>
      <c r="ANO43" s="176"/>
      <c r="ANP43" s="170"/>
      <c r="ANQ43" s="170"/>
      <c r="ANR43" s="170"/>
      <c r="ANS43" s="170"/>
      <c r="ANT43" s="171"/>
      <c r="ANU43" s="173"/>
      <c r="ANV43" s="171"/>
      <c r="ANW43" s="171"/>
      <c r="ANX43" s="171"/>
      <c r="ANY43" s="171"/>
      <c r="ANZ43" s="171"/>
      <c r="AOA43" s="176"/>
      <c r="AOB43" s="171"/>
      <c r="AOC43" s="171"/>
      <c r="AOD43" s="171"/>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32"/>
      <c r="ARC43" s="64"/>
      <c r="ARD43" s="64"/>
      <c r="ARE43" s="64"/>
      <c r="ARF43" s="33"/>
      <c r="ARG43" s="132"/>
      <c r="ARH43" s="33"/>
      <c r="ARI43" s="33"/>
      <c r="ARJ43" s="33"/>
      <c r="ARK43" s="33"/>
      <c r="ARL43" s="33"/>
      <c r="ARM43" s="137"/>
      <c r="ARN43" s="33"/>
      <c r="ARO43" s="33"/>
      <c r="ARP43" s="33"/>
      <c r="ARQ43" s="33"/>
      <c r="ARR43" s="33"/>
      <c r="ARS43" s="74"/>
      <c r="ART43" s="33"/>
      <c r="ARU43" s="33"/>
      <c r="ARV43" s="33"/>
      <c r="ARW43" s="33"/>
      <c r="ARX43" s="33"/>
      <c r="ARY43" s="137"/>
      <c r="ARZ43" s="33"/>
      <c r="ASA43" s="33"/>
      <c r="ASB43" s="33"/>
      <c r="ASC43" s="33"/>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32"/>
      <c r="ATK43" s="64"/>
      <c r="ATL43" s="64"/>
      <c r="ATM43" s="64"/>
      <c r="ATN43" s="33"/>
      <c r="ATO43" s="132"/>
      <c r="ATP43" s="33"/>
      <c r="ATQ43" s="33"/>
      <c r="ATR43" s="33"/>
      <c r="ATS43" s="33"/>
      <c r="ATT43" s="33"/>
      <c r="ATU43" s="137"/>
      <c r="ATV43" s="33"/>
      <c r="ATW43" s="33"/>
      <c r="ATX43" s="33"/>
      <c r="ATY43" s="33"/>
      <c r="ATZ43" s="33"/>
      <c r="AUA43" s="74"/>
      <c r="AUB43" s="33"/>
      <c r="AUC43" s="33"/>
      <c r="AUD43" s="33"/>
      <c r="AUE43" s="33"/>
      <c r="AUF43" s="33"/>
      <c r="AUG43" s="137"/>
      <c r="AUH43" s="33"/>
      <c r="AUI43" s="33"/>
      <c r="AUJ43" s="33"/>
      <c r="AUK43" s="33"/>
      <c r="AUL43" s="33"/>
      <c r="AUM43" s="74"/>
      <c r="AUN43" s="64"/>
      <c r="AUO43" s="64"/>
      <c r="AUP43" s="64"/>
      <c r="AUQ43" s="64"/>
      <c r="AUR43" s="33"/>
      <c r="AUS43" s="137"/>
      <c r="AUT43" s="33"/>
      <c r="AUU43" s="33"/>
      <c r="AUV43" s="33"/>
      <c r="AUW43" s="33"/>
      <c r="AUX43" s="33"/>
      <c r="AUY43" s="74"/>
      <c r="AUZ43" s="33"/>
      <c r="AVA43" s="33"/>
      <c r="AVB43" s="33"/>
      <c r="AVC43" s="33"/>
      <c r="AVD43" s="33"/>
      <c r="AVE43" s="137"/>
      <c r="AVF43" s="33"/>
      <c r="AVG43" s="33"/>
      <c r="AVH43" s="33"/>
      <c r="AVI43" s="33"/>
      <c r="AVJ43" s="33"/>
      <c r="AVK43" s="74"/>
      <c r="AVL43" s="33"/>
      <c r="AVM43" s="33"/>
      <c r="AVN43" s="33"/>
      <c r="AVO43" s="33"/>
      <c r="AVP43" s="33"/>
      <c r="AVQ43" s="34"/>
      <c r="AVR43" s="32"/>
      <c r="AVS43" s="64"/>
      <c r="AVT43" s="64"/>
      <c r="AVU43" s="64"/>
      <c r="AVV43" s="33"/>
      <c r="AVW43" s="132"/>
      <c r="AVX43" s="33"/>
      <c r="AVY43" s="33"/>
      <c r="AVZ43" s="33"/>
      <c r="AWA43" s="33"/>
      <c r="AWB43" s="33"/>
      <c r="AWC43" s="137"/>
      <c r="AWD43" s="33"/>
      <c r="AWE43" s="33"/>
      <c r="AWF43" s="33"/>
      <c r="AWG43" s="33"/>
      <c r="AWH43" s="33"/>
      <c r="AWI43" s="74"/>
      <c r="AWJ43" s="33"/>
      <c r="AWK43" s="33"/>
      <c r="AWL43" s="33"/>
      <c r="AWM43" s="33"/>
      <c r="AWN43" s="33"/>
      <c r="AWO43" s="137"/>
      <c r="AWP43" s="33"/>
      <c r="AWQ43" s="33"/>
      <c r="AWR43" s="33"/>
      <c r="AWS43" s="33"/>
      <c r="AWT43" s="33"/>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32"/>
      <c r="BHG43" s="64"/>
      <c r="BHH43" s="64"/>
      <c r="BHI43" s="64"/>
      <c r="BHJ43" s="33"/>
      <c r="BHK43" s="132"/>
      <c r="BHL43" s="33"/>
      <c r="BHM43" s="33"/>
      <c r="BHN43" s="33"/>
      <c r="BHO43" s="33"/>
      <c r="BHP43" s="33"/>
      <c r="BHQ43" s="137"/>
      <c r="BHR43" s="33"/>
      <c r="BHS43" s="33"/>
      <c r="BHT43" s="33"/>
      <c r="BHU43" s="33"/>
      <c r="BHV43" s="33"/>
      <c r="BHW43" s="74"/>
      <c r="BHX43" s="33"/>
      <c r="BHY43" s="33"/>
      <c r="BHZ43" s="33"/>
      <c r="BIA43" s="33"/>
      <c r="BIB43" s="33"/>
      <c r="BIC43" s="137"/>
      <c r="BID43" s="33"/>
      <c r="BIE43" s="33"/>
      <c r="BIF43" s="33"/>
      <c r="BIG43" s="33"/>
      <c r="BIH43" s="33"/>
      <c r="BII43" s="74"/>
      <c r="BIJ43" s="64"/>
      <c r="BIK43" s="64"/>
      <c r="BIL43" s="64"/>
      <c r="BIM43" s="64"/>
      <c r="BIN43" s="33"/>
      <c r="BIO43" s="137"/>
      <c r="BIP43" s="33"/>
      <c r="BIQ43" s="33"/>
      <c r="BIR43" s="33"/>
      <c r="BIS43" s="33"/>
      <c r="BIT43" s="33"/>
      <c r="BIU43" s="74"/>
      <c r="BIV43" s="33"/>
      <c r="BIW43" s="33"/>
      <c r="BIX43" s="33"/>
      <c r="BIY43" s="33"/>
      <c r="BIZ43" s="33"/>
      <c r="BJA43" s="137"/>
      <c r="BJB43" s="33"/>
      <c r="BJC43" s="33"/>
      <c r="BJD43" s="33"/>
      <c r="BJE43" s="33"/>
      <c r="BJF43" s="33"/>
      <c r="BJG43" s="74"/>
      <c r="BJH43" s="33"/>
      <c r="BJI43" s="33"/>
      <c r="BJJ43" s="33"/>
      <c r="BJK43" s="33"/>
      <c r="BJL43" s="33"/>
      <c r="BJM43" s="34"/>
      <c r="BJN43" s="90"/>
    </row>
    <row r="44" spans="1:1626" ht="20.100000000000001" customHeight="1" x14ac:dyDescent="0.3">
      <c r="A44" s="100" t="s">
        <v>19</v>
      </c>
      <c r="B44" s="63" t="str">
        <f>IF(LEN(C73)=0,"",C73)</f>
        <v/>
      </c>
      <c r="C44" s="208"/>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36"/>
      <c r="BHG44" s="65"/>
      <c r="BHH44" s="65"/>
      <c r="BHI44" s="65"/>
      <c r="BHJ44" s="37"/>
      <c r="BHK44" s="133"/>
      <c r="BHL44" s="37"/>
      <c r="BHM44" s="37"/>
      <c r="BHN44" s="37"/>
      <c r="BHO44" s="37"/>
      <c r="BHP44" s="37"/>
      <c r="BHQ44" s="138"/>
      <c r="BHR44" s="37"/>
      <c r="BHS44" s="37"/>
      <c r="BHT44" s="37"/>
      <c r="BHU44" s="37"/>
      <c r="BHV44" s="37"/>
      <c r="BHW44" s="75"/>
      <c r="BHX44" s="37"/>
      <c r="BHY44" s="37"/>
      <c r="BHZ44" s="37"/>
      <c r="BIA44" s="37"/>
      <c r="BIB44" s="37"/>
      <c r="BIC44" s="138"/>
      <c r="BID44" s="37"/>
      <c r="BIE44" s="37"/>
      <c r="BIF44" s="37"/>
      <c r="BIG44" s="37"/>
      <c r="BIH44" s="37"/>
      <c r="BII44" s="75"/>
      <c r="BIJ44" s="65"/>
      <c r="BIK44" s="65"/>
      <c r="BIL44" s="65"/>
      <c r="BIM44" s="65"/>
      <c r="BIN44" s="37"/>
      <c r="BIO44" s="138"/>
      <c r="BIP44" s="37"/>
      <c r="BIQ44" s="37"/>
      <c r="BIR44" s="37"/>
      <c r="BIS44" s="37"/>
      <c r="BIT44" s="37"/>
      <c r="BIU44" s="75"/>
      <c r="BIV44" s="37"/>
      <c r="BIW44" s="37"/>
      <c r="BIX44" s="37"/>
      <c r="BIY44" s="37"/>
      <c r="BIZ44" s="37"/>
      <c r="BJA44" s="138"/>
      <c r="BJB44" s="37"/>
      <c r="BJC44" s="37"/>
      <c r="BJD44" s="37"/>
      <c r="BJE44" s="37"/>
      <c r="BJF44" s="37"/>
      <c r="BJG44" s="75"/>
      <c r="BJH44" s="37"/>
      <c r="BJI44" s="37"/>
      <c r="BJJ44" s="37"/>
      <c r="BJK44" s="37"/>
      <c r="BJL44" s="37"/>
      <c r="BJM44" s="38"/>
      <c r="BJN44" s="90"/>
    </row>
    <row r="45" spans="1:1626" ht="20.100000000000001" customHeight="1" x14ac:dyDescent="0.25">
      <c r="A45" s="100" t="s">
        <v>18</v>
      </c>
      <c r="B45" s="63" t="str">
        <f>IF(LEN(C75)=0,"",C75)</f>
        <v/>
      </c>
      <c r="C45" s="207" t="s">
        <v>42</v>
      </c>
      <c r="D45" s="146" t="str">
        <f t="shared" si="0"/>
        <v>5h15min</v>
      </c>
      <c r="E45" s="39">
        <v>63</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178"/>
      <c r="KU45" s="179"/>
      <c r="KV45" s="179"/>
      <c r="KW45" s="179"/>
      <c r="KX45" s="174"/>
      <c r="KY45" s="180"/>
      <c r="KZ45" s="174"/>
      <c r="LA45" s="174"/>
      <c r="LB45" s="174"/>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178"/>
      <c r="NC45" s="179"/>
      <c r="ND45" s="179"/>
      <c r="NE45" s="179"/>
      <c r="NF45" s="174"/>
      <c r="NG45" s="180"/>
      <c r="NH45" s="174"/>
      <c r="NI45" s="174"/>
      <c r="NJ45" s="174"/>
      <c r="NK45" s="174"/>
      <c r="NL45" s="174"/>
      <c r="NM45" s="177"/>
      <c r="NN45" s="174"/>
      <c r="NO45" s="174"/>
      <c r="NP45" s="174"/>
      <c r="NQ45" s="174"/>
      <c r="NR45" s="174"/>
      <c r="NS45" s="175"/>
      <c r="NT45" s="174"/>
      <c r="NU45" s="174"/>
      <c r="NV45" s="174"/>
      <c r="NW45" s="174"/>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178"/>
      <c r="PK45" s="179"/>
      <c r="PL45" s="179"/>
      <c r="PM45" s="179"/>
      <c r="PN45" s="174"/>
      <c r="PO45" s="180"/>
      <c r="PP45" s="174"/>
      <c r="PQ45" s="174"/>
      <c r="PR45" s="174"/>
      <c r="PS45" s="174"/>
      <c r="PT45" s="174"/>
      <c r="PU45" s="177"/>
      <c r="PV45" s="174"/>
      <c r="PW45" s="174"/>
      <c r="PX45" s="174"/>
      <c r="PY45" s="174"/>
      <c r="PZ45" s="174"/>
      <c r="QA45" s="175"/>
      <c r="QB45" s="174"/>
      <c r="QC45" s="174"/>
      <c r="QD45" s="174"/>
      <c r="QE45" s="174"/>
      <c r="QF45" s="174"/>
      <c r="QG45" s="177"/>
      <c r="QH45" s="174"/>
      <c r="QI45" s="174"/>
      <c r="QJ45" s="174"/>
      <c r="QK45" s="174"/>
      <c r="QL45" s="174"/>
      <c r="QM45" s="175"/>
      <c r="QN45" s="179"/>
      <c r="QO45" s="179"/>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41"/>
      <c r="ABQ45" s="41"/>
      <c r="ABR45" s="41"/>
      <c r="ABS45" s="41"/>
      <c r="ABT45" s="41"/>
      <c r="ABU45" s="13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41"/>
      <c r="ADY45" s="41"/>
      <c r="ADZ45" s="41"/>
      <c r="AEA45" s="41"/>
      <c r="AEB45" s="41"/>
      <c r="AEC45" s="139"/>
      <c r="AED45" s="41"/>
      <c r="AEE45" s="41"/>
      <c r="AEF45" s="41"/>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41"/>
      <c r="AKZ45" s="41"/>
      <c r="ALA45" s="139"/>
      <c r="ALB45" s="41"/>
      <c r="ALC45" s="41"/>
      <c r="ALD45" s="41"/>
      <c r="ALE45" s="41"/>
      <c r="ALF45" s="41"/>
      <c r="ALG45" s="76"/>
      <c r="ALH45" s="66"/>
      <c r="ALI45" s="66"/>
      <c r="ALJ45" s="66"/>
      <c r="ALK45" s="66"/>
      <c r="ALL45" s="41"/>
      <c r="ALM45" s="139"/>
      <c r="ALN45" s="41"/>
      <c r="ALO45" s="41"/>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41"/>
      <c r="APS45" s="41"/>
      <c r="APT45" s="41"/>
      <c r="APU45" s="41"/>
      <c r="APV45" s="41"/>
      <c r="APW45" s="76"/>
      <c r="APX45" s="66"/>
      <c r="APY45" s="6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41"/>
      <c r="AYV45" s="41"/>
      <c r="AYW45" s="139"/>
      <c r="AYX45" s="41"/>
      <c r="AYY45" s="41"/>
      <c r="AYZ45" s="41"/>
      <c r="AZA45" s="41"/>
      <c r="AZB45" s="41"/>
      <c r="AZC45" s="76"/>
      <c r="AZD45" s="66"/>
      <c r="AZE45" s="66"/>
      <c r="AZF45" s="66"/>
      <c r="AZG45" s="66"/>
      <c r="AZH45" s="41"/>
      <c r="AZI45" s="139"/>
      <c r="AZJ45" s="41"/>
      <c r="AZK45" s="41"/>
      <c r="AZL45" s="41"/>
      <c r="AZM45" s="41"/>
      <c r="AZN45" s="41"/>
      <c r="AZO45" s="76"/>
      <c r="AZP45" s="41"/>
      <c r="AZQ45" s="41"/>
      <c r="AZR45" s="41"/>
      <c r="AZS45" s="41"/>
      <c r="AZT45" s="41"/>
      <c r="AZU45" s="139"/>
      <c r="AZV45" s="41"/>
      <c r="AZW45" s="41"/>
      <c r="AZX45" s="41"/>
      <c r="AZY45" s="41"/>
      <c r="AZZ45" s="41"/>
      <c r="BAA45" s="76"/>
      <c r="BAB45" s="41"/>
      <c r="BAC45" s="41"/>
      <c r="BAD45" s="41"/>
      <c r="BAE45" s="41"/>
      <c r="BAF45" s="41"/>
      <c r="BAG45" s="42"/>
      <c r="BAH45" s="40"/>
      <c r="BAI45" s="66"/>
      <c r="BAJ45" s="66"/>
      <c r="BAK45" s="66"/>
      <c r="BAL45" s="41"/>
      <c r="BAM45" s="134"/>
      <c r="BAN45" s="41"/>
      <c r="BAO45" s="41"/>
      <c r="BAP45" s="41"/>
      <c r="BAQ45" s="41"/>
      <c r="BAR45" s="41"/>
      <c r="BAS45" s="139"/>
      <c r="BAT45" s="41"/>
      <c r="BAU45" s="41"/>
      <c r="BAV45" s="41"/>
      <c r="BAW45" s="41"/>
      <c r="BAX45" s="41"/>
      <c r="BAY45" s="76"/>
      <c r="BAZ45" s="41"/>
      <c r="BBA45" s="41"/>
      <c r="BBB45" s="41"/>
      <c r="BBC45" s="41"/>
      <c r="BBD45" s="41"/>
      <c r="BBE45" s="139"/>
      <c r="BBF45" s="41"/>
      <c r="BBG45" s="41"/>
      <c r="BBH45" s="41"/>
      <c r="BBI45" s="41"/>
      <c r="BBJ45" s="41"/>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40"/>
      <c r="BCQ45" s="66"/>
      <c r="BCR45" s="66"/>
      <c r="BCS45" s="66"/>
      <c r="BCT45" s="41"/>
      <c r="BCU45" s="134"/>
      <c r="BCV45" s="41"/>
      <c r="BCW45" s="41"/>
      <c r="BCX45" s="41"/>
      <c r="BCY45" s="41"/>
      <c r="BCZ45" s="41"/>
      <c r="BDA45" s="139"/>
      <c r="BDB45" s="41"/>
      <c r="BDC45" s="41"/>
      <c r="BDD45" s="41"/>
      <c r="BDE45" s="41"/>
      <c r="BDF45" s="41"/>
      <c r="BDG45" s="76"/>
      <c r="BDH45" s="41"/>
      <c r="BDI45" s="41"/>
      <c r="BDJ45" s="41"/>
      <c r="BDK45" s="41"/>
      <c r="BDL45" s="41"/>
      <c r="BDM45" s="139"/>
      <c r="BDN45" s="41"/>
      <c r="BDO45" s="41"/>
      <c r="BDP45" s="41"/>
      <c r="BDQ45" s="41"/>
      <c r="BDR45" s="41"/>
      <c r="BDS45" s="76"/>
      <c r="BDT45" s="66"/>
      <c r="BDU45" s="66"/>
      <c r="BDV45" s="66"/>
      <c r="BDW45" s="66"/>
      <c r="BDX45" s="41"/>
      <c r="BDY45" s="139"/>
      <c r="BDZ45" s="41"/>
      <c r="BEA45" s="41"/>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40"/>
      <c r="BHG45" s="66"/>
      <c r="BHH45" s="66"/>
      <c r="BHI45" s="66"/>
      <c r="BHJ45" s="41"/>
      <c r="BHK45" s="134"/>
      <c r="BHL45" s="41"/>
      <c r="BHM45" s="41"/>
      <c r="BHN45" s="41"/>
      <c r="BHO45" s="41"/>
      <c r="BHP45" s="41"/>
      <c r="BHQ45" s="139"/>
      <c r="BHR45" s="41"/>
      <c r="BHS45" s="41"/>
      <c r="BHT45" s="41"/>
      <c r="BHU45" s="41"/>
      <c r="BHV45" s="41"/>
      <c r="BHW45" s="76"/>
      <c r="BHX45" s="41"/>
      <c r="BHY45" s="41"/>
      <c r="BHZ45" s="41"/>
      <c r="BIA45" s="41"/>
      <c r="BIB45" s="41"/>
      <c r="BIC45" s="139"/>
      <c r="BID45" s="41"/>
      <c r="BIE45" s="41"/>
      <c r="BIF45" s="41"/>
      <c r="BIG45" s="41"/>
      <c r="BIH45" s="41"/>
      <c r="BII45" s="76"/>
      <c r="BIJ45" s="66"/>
      <c r="BIK45" s="66"/>
      <c r="BIL45" s="66"/>
      <c r="BIM45" s="66"/>
      <c r="BIN45" s="41"/>
      <c r="BIO45" s="139"/>
      <c r="BIP45" s="41"/>
      <c r="BIQ45" s="41"/>
      <c r="BIR45" s="41"/>
      <c r="BIS45" s="41"/>
      <c r="BIT45" s="41"/>
      <c r="BIU45" s="76"/>
      <c r="BIV45" s="41"/>
      <c r="BIW45" s="41"/>
      <c r="BIX45" s="41"/>
      <c r="BIY45" s="41"/>
      <c r="BIZ45" s="41"/>
      <c r="BJA45" s="139"/>
      <c r="BJB45" s="41"/>
      <c r="BJC45" s="41"/>
      <c r="BJD45" s="41"/>
      <c r="BJE45" s="41"/>
      <c r="BJF45" s="41"/>
      <c r="BJG45" s="76"/>
      <c r="BJH45" s="41"/>
      <c r="BJI45" s="41"/>
      <c r="BJJ45" s="41"/>
      <c r="BJK45" s="41"/>
      <c r="BJL45" s="41"/>
      <c r="BJM45" s="42"/>
      <c r="BJN45" s="90"/>
    </row>
    <row r="46" spans="1:1626" ht="20.100000000000001" customHeight="1" x14ac:dyDescent="0.25">
      <c r="A46" s="100" t="s">
        <v>19</v>
      </c>
      <c r="B46" s="63" t="str">
        <f>IF(LEN(C77)=0,"",C77)</f>
        <v/>
      </c>
      <c r="C46" s="209"/>
      <c r="D46" s="147" t="str">
        <f t="shared" si="0"/>
        <v>4h40min</v>
      </c>
      <c r="E46" s="35">
        <v>56</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182"/>
      <c r="NC46" s="183"/>
      <c r="ND46" s="183"/>
      <c r="NE46" s="183"/>
      <c r="NF46" s="184"/>
      <c r="NG46" s="185"/>
      <c r="NH46" s="184"/>
      <c r="NI46" s="184"/>
      <c r="NJ46" s="184"/>
      <c r="NK46" s="184"/>
      <c r="NL46" s="184"/>
      <c r="NM46" s="186"/>
      <c r="NN46" s="184"/>
      <c r="NO46" s="184"/>
      <c r="NP46" s="184"/>
      <c r="NQ46" s="184"/>
      <c r="NR46" s="184"/>
      <c r="NS46" s="187"/>
      <c r="NT46" s="184"/>
      <c r="NU46" s="184"/>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182"/>
      <c r="PK46" s="183"/>
      <c r="PL46" s="183"/>
      <c r="PM46" s="183"/>
      <c r="PN46" s="184"/>
      <c r="PO46" s="185"/>
      <c r="PP46" s="184"/>
      <c r="PQ46" s="184"/>
      <c r="PR46" s="184"/>
      <c r="PS46" s="184"/>
      <c r="PT46" s="184"/>
      <c r="PU46" s="186"/>
      <c r="PV46" s="184"/>
      <c r="PW46" s="184"/>
      <c r="PX46" s="184"/>
      <c r="PY46" s="184"/>
      <c r="PZ46" s="184"/>
      <c r="QA46" s="187"/>
      <c r="QB46" s="184"/>
      <c r="QC46" s="184"/>
      <c r="QD46" s="184"/>
      <c r="QE46" s="184"/>
      <c r="QF46" s="184"/>
      <c r="QG46" s="186"/>
      <c r="QH46" s="184"/>
      <c r="QI46" s="184"/>
      <c r="QJ46" s="184"/>
      <c r="QK46" s="184"/>
      <c r="QL46" s="184"/>
      <c r="QM46" s="187"/>
      <c r="QN46" s="183"/>
      <c r="QO46" s="183"/>
      <c r="QP46" s="183"/>
      <c r="QQ46" s="183"/>
      <c r="QR46" s="184"/>
      <c r="QS46" s="186"/>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36"/>
      <c r="BHG46" s="65"/>
      <c r="BHH46" s="65"/>
      <c r="BHI46" s="65"/>
      <c r="BHJ46" s="37"/>
      <c r="BHK46" s="133"/>
      <c r="BHL46" s="37"/>
      <c r="BHM46" s="37"/>
      <c r="BHN46" s="37"/>
      <c r="BHO46" s="37"/>
      <c r="BHP46" s="37"/>
      <c r="BHQ46" s="138"/>
      <c r="BHR46" s="37"/>
      <c r="BHS46" s="37"/>
      <c r="BHT46" s="37"/>
      <c r="BHU46" s="37"/>
      <c r="BHV46" s="37"/>
      <c r="BHW46" s="75"/>
      <c r="BHX46" s="37"/>
      <c r="BHY46" s="37"/>
      <c r="BHZ46" s="37"/>
      <c r="BIA46" s="37"/>
      <c r="BIB46" s="37"/>
      <c r="BIC46" s="138"/>
      <c r="BID46" s="37"/>
      <c r="BIE46" s="37"/>
      <c r="BIF46" s="37"/>
      <c r="BIG46" s="37"/>
      <c r="BIH46" s="37"/>
      <c r="BII46" s="75"/>
      <c r="BIJ46" s="65"/>
      <c r="BIK46" s="65"/>
      <c r="BIL46" s="65"/>
      <c r="BIM46" s="65"/>
      <c r="BIN46" s="37"/>
      <c r="BIO46" s="138"/>
      <c r="BIP46" s="37"/>
      <c r="BIQ46" s="37"/>
      <c r="BIR46" s="37"/>
      <c r="BIS46" s="37"/>
      <c r="BIT46" s="37"/>
      <c r="BIU46" s="75"/>
      <c r="BIV46" s="37"/>
      <c r="BIW46" s="37"/>
      <c r="BIX46" s="37"/>
      <c r="BIY46" s="37"/>
      <c r="BIZ46" s="37"/>
      <c r="BJA46" s="138"/>
      <c r="BJB46" s="37"/>
      <c r="BJC46" s="37"/>
      <c r="BJD46" s="37"/>
      <c r="BJE46" s="37"/>
      <c r="BJF46" s="37"/>
      <c r="BJG46" s="75"/>
      <c r="BJH46" s="37"/>
      <c r="BJI46" s="37"/>
      <c r="BJJ46" s="37"/>
      <c r="BJK46" s="37"/>
      <c r="BJL46" s="37"/>
      <c r="BJM46" s="38"/>
      <c r="BJN46" s="90"/>
    </row>
    <row r="47" spans="1:1626" ht="20.100000000000001" customHeight="1" x14ac:dyDescent="0.25">
      <c r="A47" s="100" t="s">
        <v>18</v>
      </c>
      <c r="B47" s="63" t="str">
        <f>IF(LEN(C79)=0,"",C79)</f>
        <v/>
      </c>
      <c r="C47" s="207"/>
      <c r="D47" s="146" t="str">
        <f t="shared" si="0"/>
        <v>0h</v>
      </c>
      <c r="E47" s="39">
        <v>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40"/>
      <c r="ADG47" s="66"/>
      <c r="ADH47" s="66"/>
      <c r="ADI47" s="66"/>
      <c r="ADJ47" s="41"/>
      <c r="ADK47" s="134"/>
      <c r="ADL47" s="41"/>
      <c r="ADM47" s="41"/>
      <c r="ADN47" s="41"/>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40"/>
      <c r="BHG47" s="66"/>
      <c r="BHH47" s="66"/>
      <c r="BHI47" s="66"/>
      <c r="BHJ47" s="41"/>
      <c r="BHK47" s="134"/>
      <c r="BHL47" s="41"/>
      <c r="BHM47" s="41"/>
      <c r="BHN47" s="41"/>
      <c r="BHO47" s="41"/>
      <c r="BHP47" s="41"/>
      <c r="BHQ47" s="139"/>
      <c r="BHR47" s="41"/>
      <c r="BHS47" s="41"/>
      <c r="BHT47" s="41"/>
      <c r="BHU47" s="41"/>
      <c r="BHV47" s="41"/>
      <c r="BHW47" s="76"/>
      <c r="BHX47" s="41"/>
      <c r="BHY47" s="41"/>
      <c r="BHZ47" s="41"/>
      <c r="BIA47" s="41"/>
      <c r="BIB47" s="41"/>
      <c r="BIC47" s="139"/>
      <c r="BID47" s="41"/>
      <c r="BIE47" s="41"/>
      <c r="BIF47" s="41"/>
      <c r="BIG47" s="41"/>
      <c r="BIH47" s="41"/>
      <c r="BII47" s="76"/>
      <c r="BIJ47" s="66"/>
      <c r="BIK47" s="66"/>
      <c r="BIL47" s="66"/>
      <c r="BIM47" s="66"/>
      <c r="BIN47" s="41"/>
      <c r="BIO47" s="139"/>
      <c r="BIP47" s="41"/>
      <c r="BIQ47" s="41"/>
      <c r="BIR47" s="41"/>
      <c r="BIS47" s="41"/>
      <c r="BIT47" s="41"/>
      <c r="BIU47" s="76"/>
      <c r="BIV47" s="41"/>
      <c r="BIW47" s="41"/>
      <c r="BIX47" s="41"/>
      <c r="BIY47" s="41"/>
      <c r="BIZ47" s="41"/>
      <c r="BJA47" s="139"/>
      <c r="BJB47" s="41"/>
      <c r="BJC47" s="41"/>
      <c r="BJD47" s="41"/>
      <c r="BJE47" s="41"/>
      <c r="BJF47" s="41"/>
      <c r="BJG47" s="76"/>
      <c r="BJH47" s="41"/>
      <c r="BJI47" s="41"/>
      <c r="BJJ47" s="41"/>
      <c r="BJK47" s="41"/>
      <c r="BJL47" s="41"/>
      <c r="BJM47" s="42"/>
      <c r="BJN47" s="90"/>
    </row>
    <row r="48" spans="1:1626" ht="20.100000000000001" customHeight="1" x14ac:dyDescent="0.3">
      <c r="A48" s="100" t="s">
        <v>19</v>
      </c>
      <c r="B48" s="63" t="str">
        <f>IF(LEN(C81)=0,"",C81)</f>
        <v/>
      </c>
      <c r="C48" s="208"/>
      <c r="D48" s="148"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28"/>
      <c r="BHG48" s="67"/>
      <c r="BHH48" s="67"/>
      <c r="BHI48" s="67"/>
      <c r="BHJ48" s="29"/>
      <c r="BHK48" s="131"/>
      <c r="BHL48" s="29"/>
      <c r="BHM48" s="29"/>
      <c r="BHN48" s="29"/>
      <c r="BHO48" s="29"/>
      <c r="BHP48" s="29"/>
      <c r="BHQ48" s="136"/>
      <c r="BHR48" s="29"/>
      <c r="BHS48" s="29"/>
      <c r="BHT48" s="29"/>
      <c r="BHU48" s="29"/>
      <c r="BHV48" s="29"/>
      <c r="BHW48" s="73"/>
      <c r="BHX48" s="29"/>
      <c r="BHY48" s="29"/>
      <c r="BHZ48" s="29"/>
      <c r="BIA48" s="29"/>
      <c r="BIB48" s="29"/>
      <c r="BIC48" s="136"/>
      <c r="BID48" s="29"/>
      <c r="BIE48" s="29"/>
      <c r="BIF48" s="29"/>
      <c r="BIG48" s="29"/>
      <c r="BIH48" s="29"/>
      <c r="BII48" s="73"/>
      <c r="BIJ48" s="67"/>
      <c r="BIK48" s="67"/>
      <c r="BIL48" s="67"/>
      <c r="BIM48" s="67"/>
      <c r="BIN48" s="29"/>
      <c r="BIO48" s="136"/>
      <c r="BIP48" s="29"/>
      <c r="BIQ48" s="29"/>
      <c r="BIR48" s="29"/>
      <c r="BIS48" s="29"/>
      <c r="BIT48" s="29"/>
      <c r="BIU48" s="73"/>
      <c r="BIV48" s="29"/>
      <c r="BIW48" s="29"/>
      <c r="BIX48" s="29"/>
      <c r="BIY48" s="29"/>
      <c r="BIZ48" s="29"/>
      <c r="BJA48" s="136"/>
      <c r="BJB48" s="29"/>
      <c r="BJC48" s="29"/>
      <c r="BJD48" s="29"/>
      <c r="BJE48" s="29"/>
      <c r="BJF48" s="29"/>
      <c r="BJG48" s="73"/>
      <c r="BJH48" s="29"/>
      <c r="BJI48" s="29"/>
      <c r="BJJ48" s="29"/>
      <c r="BJK48" s="29"/>
      <c r="BJL48" s="29"/>
      <c r="BJM48" s="30"/>
      <c r="BJN48" s="90"/>
    </row>
    <row r="49" spans="1:1626" ht="20.100000000000001" customHeight="1" x14ac:dyDescent="0.25">
      <c r="A49" s="100" t="s">
        <v>18</v>
      </c>
      <c r="B49" s="63" t="str">
        <f>IF(LEN(C83)=0,"",C83)</f>
        <v/>
      </c>
      <c r="C49" s="207"/>
      <c r="D49" s="146" t="str">
        <f t="shared" si="0"/>
        <v>0h</v>
      </c>
      <c r="E49" s="31">
        <v>0</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33"/>
      <c r="SS49" s="33"/>
      <c r="ST49" s="33"/>
      <c r="SU49" s="74"/>
      <c r="SV49" s="64"/>
      <c r="SW49" s="64"/>
      <c r="SX49" s="64"/>
      <c r="SY49" s="64"/>
      <c r="SZ49" s="33"/>
      <c r="TA49" s="137"/>
      <c r="TB49" s="33"/>
      <c r="TC49" s="33"/>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32"/>
      <c r="BHG49" s="64"/>
      <c r="BHH49" s="64"/>
      <c r="BHI49" s="64"/>
      <c r="BHJ49" s="33"/>
      <c r="BHK49" s="132"/>
      <c r="BHL49" s="33"/>
      <c r="BHM49" s="33"/>
      <c r="BHN49" s="33"/>
      <c r="BHO49" s="33"/>
      <c r="BHP49" s="33"/>
      <c r="BHQ49" s="137"/>
      <c r="BHR49" s="33"/>
      <c r="BHS49" s="33"/>
      <c r="BHT49" s="33"/>
      <c r="BHU49" s="33"/>
      <c r="BHV49" s="33"/>
      <c r="BHW49" s="74"/>
      <c r="BHX49" s="33"/>
      <c r="BHY49" s="33"/>
      <c r="BHZ49" s="33"/>
      <c r="BIA49" s="33"/>
      <c r="BIB49" s="33"/>
      <c r="BIC49" s="137"/>
      <c r="BID49" s="33"/>
      <c r="BIE49" s="33"/>
      <c r="BIF49" s="33"/>
      <c r="BIG49" s="33"/>
      <c r="BIH49" s="33"/>
      <c r="BII49" s="74"/>
      <c r="BIJ49" s="64"/>
      <c r="BIK49" s="64"/>
      <c r="BIL49" s="64"/>
      <c r="BIM49" s="64"/>
      <c r="BIN49" s="33"/>
      <c r="BIO49" s="137"/>
      <c r="BIP49" s="33"/>
      <c r="BIQ49" s="33"/>
      <c r="BIR49" s="33"/>
      <c r="BIS49" s="33"/>
      <c r="BIT49" s="33"/>
      <c r="BIU49" s="74"/>
      <c r="BIV49" s="33"/>
      <c r="BIW49" s="33"/>
      <c r="BIX49" s="33"/>
      <c r="BIY49" s="33"/>
      <c r="BIZ49" s="33"/>
      <c r="BJA49" s="137"/>
      <c r="BJB49" s="33"/>
      <c r="BJC49" s="33"/>
      <c r="BJD49" s="33"/>
      <c r="BJE49" s="33"/>
      <c r="BJF49" s="33"/>
      <c r="BJG49" s="74"/>
      <c r="BJH49" s="33"/>
      <c r="BJI49" s="33"/>
      <c r="BJJ49" s="33"/>
      <c r="BJK49" s="33"/>
      <c r="BJL49" s="33"/>
      <c r="BJM49" s="34"/>
      <c r="BJN49" s="90"/>
    </row>
    <row r="50" spans="1:1626" ht="20.100000000000001" customHeight="1" x14ac:dyDescent="0.3">
      <c r="A50" s="100" t="s">
        <v>19</v>
      </c>
      <c r="B50" s="63" t="str">
        <f>IF(LEN(C85)=0,"",C85)</f>
        <v/>
      </c>
      <c r="C50" s="208"/>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36"/>
      <c r="BHG50" s="65"/>
      <c r="BHH50" s="65"/>
      <c r="BHI50" s="65"/>
      <c r="BHJ50" s="37"/>
      <c r="BHK50" s="133"/>
      <c r="BHL50" s="37"/>
      <c r="BHM50" s="37"/>
      <c r="BHN50" s="37"/>
      <c r="BHO50" s="37"/>
      <c r="BHP50" s="37"/>
      <c r="BHQ50" s="138"/>
      <c r="BHR50" s="37"/>
      <c r="BHS50" s="37"/>
      <c r="BHT50" s="37"/>
      <c r="BHU50" s="37"/>
      <c r="BHV50" s="37"/>
      <c r="BHW50" s="75"/>
      <c r="BHX50" s="37"/>
      <c r="BHY50" s="37"/>
      <c r="BHZ50" s="37"/>
      <c r="BIA50" s="37"/>
      <c r="BIB50" s="37"/>
      <c r="BIC50" s="138"/>
      <c r="BID50" s="37"/>
      <c r="BIE50" s="37"/>
      <c r="BIF50" s="37"/>
      <c r="BIG50" s="37"/>
      <c r="BIH50" s="37"/>
      <c r="BII50" s="75"/>
      <c r="BIJ50" s="65"/>
      <c r="BIK50" s="65"/>
      <c r="BIL50" s="65"/>
      <c r="BIM50" s="65"/>
      <c r="BIN50" s="37"/>
      <c r="BIO50" s="138"/>
      <c r="BIP50" s="37"/>
      <c r="BIQ50" s="37"/>
      <c r="BIR50" s="37"/>
      <c r="BIS50" s="37"/>
      <c r="BIT50" s="37"/>
      <c r="BIU50" s="75"/>
      <c r="BIV50" s="37"/>
      <c r="BIW50" s="37"/>
      <c r="BIX50" s="37"/>
      <c r="BIY50" s="37"/>
      <c r="BIZ50" s="37"/>
      <c r="BJA50" s="138"/>
      <c r="BJB50" s="37"/>
      <c r="BJC50" s="37"/>
      <c r="BJD50" s="37"/>
      <c r="BJE50" s="37"/>
      <c r="BJF50" s="37"/>
      <c r="BJG50" s="75"/>
      <c r="BJH50" s="37"/>
      <c r="BJI50" s="37"/>
      <c r="BJJ50" s="37"/>
      <c r="BJK50" s="37"/>
      <c r="BJL50" s="37"/>
      <c r="BJM50" s="38"/>
      <c r="BJN50" s="90"/>
    </row>
    <row r="51" spans="1:1626" ht="20.100000000000001" customHeight="1" x14ac:dyDescent="0.25">
      <c r="A51" s="100" t="s">
        <v>18</v>
      </c>
      <c r="B51" s="63" t="str">
        <f>IF(LEN(C87)=0,"",C87)</f>
        <v/>
      </c>
      <c r="C51" s="207"/>
      <c r="D51" s="146" t="str">
        <f t="shared" si="0"/>
        <v>0h</v>
      </c>
      <c r="E51" s="39">
        <v>0</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41"/>
      <c r="AEH51" s="41"/>
      <c r="AEI51" s="76"/>
      <c r="AEJ51" s="66"/>
      <c r="AEK51" s="66"/>
      <c r="AEL51" s="66"/>
      <c r="AEM51" s="66"/>
      <c r="AEN51" s="41"/>
      <c r="AEO51" s="13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40"/>
      <c r="BHG51" s="66"/>
      <c r="BHH51" s="66"/>
      <c r="BHI51" s="66"/>
      <c r="BHJ51" s="41"/>
      <c r="BHK51" s="134"/>
      <c r="BHL51" s="41"/>
      <c r="BHM51" s="41"/>
      <c r="BHN51" s="41"/>
      <c r="BHO51" s="41"/>
      <c r="BHP51" s="41"/>
      <c r="BHQ51" s="139"/>
      <c r="BHR51" s="41"/>
      <c r="BHS51" s="41"/>
      <c r="BHT51" s="41"/>
      <c r="BHU51" s="41"/>
      <c r="BHV51" s="41"/>
      <c r="BHW51" s="76"/>
      <c r="BHX51" s="41"/>
      <c r="BHY51" s="41"/>
      <c r="BHZ51" s="41"/>
      <c r="BIA51" s="41"/>
      <c r="BIB51" s="41"/>
      <c r="BIC51" s="139"/>
      <c r="BID51" s="41"/>
      <c r="BIE51" s="41"/>
      <c r="BIF51" s="41"/>
      <c r="BIG51" s="41"/>
      <c r="BIH51" s="41"/>
      <c r="BII51" s="76"/>
      <c r="BIJ51" s="66"/>
      <c r="BIK51" s="66"/>
      <c r="BIL51" s="66"/>
      <c r="BIM51" s="66"/>
      <c r="BIN51" s="41"/>
      <c r="BIO51" s="139"/>
      <c r="BIP51" s="41"/>
      <c r="BIQ51" s="41"/>
      <c r="BIR51" s="41"/>
      <c r="BIS51" s="41"/>
      <c r="BIT51" s="41"/>
      <c r="BIU51" s="76"/>
      <c r="BIV51" s="41"/>
      <c r="BIW51" s="41"/>
      <c r="BIX51" s="41"/>
      <c r="BIY51" s="41"/>
      <c r="BIZ51" s="41"/>
      <c r="BJA51" s="139"/>
      <c r="BJB51" s="41"/>
      <c r="BJC51" s="41"/>
      <c r="BJD51" s="41"/>
      <c r="BJE51" s="41"/>
      <c r="BJF51" s="41"/>
      <c r="BJG51" s="76"/>
      <c r="BJH51" s="41"/>
      <c r="BJI51" s="41"/>
      <c r="BJJ51" s="41"/>
      <c r="BJK51" s="41"/>
      <c r="BJL51" s="41"/>
      <c r="BJM51" s="42"/>
      <c r="BJN51" s="90"/>
    </row>
    <row r="52" spans="1:1626" ht="20.100000000000001" customHeight="1" x14ac:dyDescent="0.25">
      <c r="A52" s="100" t="s">
        <v>19</v>
      </c>
      <c r="B52" s="63" t="str">
        <f>IF(LEN(C89)=0,"",C89)</f>
        <v/>
      </c>
      <c r="C52" s="209"/>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28"/>
      <c r="BHG52" s="67"/>
      <c r="BHH52" s="67"/>
      <c r="BHI52" s="67"/>
      <c r="BHJ52" s="29"/>
      <c r="BHK52" s="131"/>
      <c r="BHL52" s="29"/>
      <c r="BHM52" s="29"/>
      <c r="BHN52" s="29"/>
      <c r="BHO52" s="29"/>
      <c r="BHP52" s="29"/>
      <c r="BHQ52" s="136"/>
      <c r="BHR52" s="29"/>
      <c r="BHS52" s="29"/>
      <c r="BHT52" s="29"/>
      <c r="BHU52" s="29"/>
      <c r="BHV52" s="29"/>
      <c r="BHW52" s="75"/>
      <c r="BHX52" s="29"/>
      <c r="BHY52" s="29"/>
      <c r="BHZ52" s="29"/>
      <c r="BIA52" s="29"/>
      <c r="BIB52" s="29"/>
      <c r="BIC52" s="136"/>
      <c r="BID52" s="29"/>
      <c r="BIE52" s="29"/>
      <c r="BIF52" s="29"/>
      <c r="BIG52" s="29"/>
      <c r="BIH52" s="29"/>
      <c r="BII52" s="75"/>
      <c r="BIJ52" s="67"/>
      <c r="BIK52" s="67"/>
      <c r="BIL52" s="67"/>
      <c r="BIM52" s="67"/>
      <c r="BIN52" s="29"/>
      <c r="BIO52" s="136"/>
      <c r="BIP52" s="29"/>
      <c r="BIQ52" s="29"/>
      <c r="BIR52" s="29"/>
      <c r="BIS52" s="29"/>
      <c r="BIT52" s="37"/>
      <c r="BIU52" s="75"/>
      <c r="BIV52" s="29"/>
      <c r="BIW52" s="29"/>
      <c r="BIX52" s="29"/>
      <c r="BIY52" s="29"/>
      <c r="BIZ52" s="29"/>
      <c r="BJA52" s="136"/>
      <c r="BJB52" s="29"/>
      <c r="BJC52" s="29"/>
      <c r="BJD52" s="29"/>
      <c r="BJE52" s="29"/>
      <c r="BJF52" s="29"/>
      <c r="BJG52" s="75"/>
      <c r="BJH52" s="29"/>
      <c r="BJI52" s="29"/>
      <c r="BJJ52" s="29"/>
      <c r="BJK52" s="29"/>
      <c r="BJL52" s="29"/>
      <c r="BJM52" s="30"/>
      <c r="BJN52" s="90"/>
    </row>
    <row r="53" spans="1:1626" ht="20.100000000000001" customHeight="1" x14ac:dyDescent="0.25">
      <c r="A53" s="100" t="s">
        <v>18</v>
      </c>
      <c r="B53" s="63" t="str">
        <f>IF(LEN(C91)=0,"",C91)</f>
        <v/>
      </c>
      <c r="C53" s="207"/>
      <c r="D53" s="146" t="str">
        <f t="shared" si="0"/>
        <v>0h</v>
      </c>
      <c r="E53" s="31">
        <v>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33"/>
      <c r="AEQ53" s="33"/>
      <c r="AER53" s="33"/>
      <c r="AES53" s="33"/>
      <c r="AET53" s="33"/>
      <c r="AEU53" s="74"/>
      <c r="AEV53" s="33"/>
      <c r="AEW53" s="33"/>
      <c r="AEX53" s="33"/>
      <c r="AEY53" s="33"/>
      <c r="AEZ53" s="33"/>
      <c r="AFA53" s="137"/>
      <c r="AFB53" s="33"/>
      <c r="AFC53" s="33"/>
      <c r="AFD53" s="33"/>
      <c r="AFE53" s="33"/>
      <c r="AFF53" s="33"/>
      <c r="AFG53" s="74"/>
      <c r="AFH53" s="33"/>
      <c r="AFI53" s="33"/>
      <c r="AFJ53" s="33"/>
      <c r="AFK53" s="33"/>
      <c r="AFL53" s="33"/>
      <c r="AFM53" s="34"/>
      <c r="AFN53" s="32"/>
      <c r="AFO53" s="64"/>
      <c r="AFP53" s="64"/>
      <c r="AFQ53" s="64"/>
      <c r="AFR53" s="33"/>
      <c r="AFS53" s="132"/>
      <c r="AFT53" s="33"/>
      <c r="AFU53" s="33"/>
      <c r="AFV53" s="33"/>
      <c r="AFW53" s="33"/>
      <c r="AFX53" s="33"/>
      <c r="AFY53" s="137"/>
      <c r="AFZ53" s="33"/>
      <c r="AGA53" s="33"/>
      <c r="AGB53" s="33"/>
      <c r="AGC53" s="33"/>
      <c r="AGD53" s="33"/>
      <c r="AGE53" s="74"/>
      <c r="AGF53" s="33"/>
      <c r="AGG53" s="33"/>
      <c r="AGH53" s="33"/>
      <c r="AGI53" s="33"/>
      <c r="AGJ53" s="33"/>
      <c r="AGK53" s="137"/>
      <c r="AGL53" s="33"/>
      <c r="AGM53" s="33"/>
      <c r="AGN53" s="33"/>
      <c r="AGO53" s="33"/>
      <c r="AGP53" s="33"/>
      <c r="AGQ53" s="74"/>
      <c r="AGR53" s="64"/>
      <c r="AGS53" s="64"/>
      <c r="AGT53" s="64"/>
      <c r="AGU53" s="64"/>
      <c r="AGV53" s="33"/>
      <c r="AGW53" s="137"/>
      <c r="AGX53" s="33"/>
      <c r="AGY53" s="33"/>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32"/>
      <c r="BHG53" s="64"/>
      <c r="BHH53" s="64"/>
      <c r="BHI53" s="64"/>
      <c r="BHJ53" s="33"/>
      <c r="BHK53" s="132"/>
      <c r="BHL53" s="33"/>
      <c r="BHM53" s="33"/>
      <c r="BHN53" s="33"/>
      <c r="BHO53" s="33"/>
      <c r="BHP53" s="33"/>
      <c r="BHQ53" s="137"/>
      <c r="BHR53" s="33"/>
      <c r="BHS53" s="33"/>
      <c r="BHT53" s="33"/>
      <c r="BHU53" s="33"/>
      <c r="BHV53" s="33"/>
      <c r="BHW53" s="74"/>
      <c r="BHX53" s="33"/>
      <c r="BHY53" s="33"/>
      <c r="BHZ53" s="33"/>
      <c r="BIA53" s="33"/>
      <c r="BIB53" s="33"/>
      <c r="BIC53" s="137"/>
      <c r="BID53" s="33"/>
      <c r="BIE53" s="33"/>
      <c r="BIF53" s="33"/>
      <c r="BIG53" s="33"/>
      <c r="BIH53" s="33"/>
      <c r="BII53" s="74"/>
      <c r="BIJ53" s="64"/>
      <c r="BIK53" s="64"/>
      <c r="BIL53" s="64"/>
      <c r="BIM53" s="64"/>
      <c r="BIN53" s="33"/>
      <c r="BIO53" s="137"/>
      <c r="BIP53" s="33"/>
      <c r="BIQ53" s="33"/>
      <c r="BIR53" s="33"/>
      <c r="BIS53" s="33"/>
      <c r="BIT53" s="33"/>
      <c r="BIU53" s="74"/>
      <c r="BIV53" s="33"/>
      <c r="BIW53" s="33"/>
      <c r="BIX53" s="33"/>
      <c r="BIY53" s="33"/>
      <c r="BIZ53" s="33"/>
      <c r="BJA53" s="137"/>
      <c r="BJB53" s="33"/>
      <c r="BJC53" s="33"/>
      <c r="BJD53" s="33"/>
      <c r="BJE53" s="33"/>
      <c r="BJF53" s="33"/>
      <c r="BJG53" s="74"/>
      <c r="BJH53" s="33"/>
      <c r="BJI53" s="33"/>
      <c r="BJJ53" s="33"/>
      <c r="BJK53" s="33"/>
      <c r="BJL53" s="33"/>
      <c r="BJM53" s="34"/>
      <c r="BJN53" s="90"/>
    </row>
    <row r="54" spans="1:1626" ht="20.100000000000001" customHeight="1" x14ac:dyDescent="0.3">
      <c r="A54" s="100" t="s">
        <v>19</v>
      </c>
      <c r="B54" s="63" t="str">
        <f>IF(LEN(C93)=0,"",C93)</f>
        <v/>
      </c>
      <c r="C54" s="208"/>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36"/>
      <c r="BHG54" s="65"/>
      <c r="BHH54" s="65"/>
      <c r="BHI54" s="65"/>
      <c r="BHJ54" s="37"/>
      <c r="BHK54" s="133"/>
      <c r="BHL54" s="37"/>
      <c r="BHM54" s="37"/>
      <c r="BHN54" s="37"/>
      <c r="BHO54" s="37"/>
      <c r="BHP54" s="37"/>
      <c r="BHQ54" s="138"/>
      <c r="BHR54" s="37"/>
      <c r="BHS54" s="37"/>
      <c r="BHT54" s="37"/>
      <c r="BHU54" s="37"/>
      <c r="BHV54" s="37"/>
      <c r="BHW54" s="75"/>
      <c r="BHX54" s="37"/>
      <c r="BHY54" s="37"/>
      <c r="BHZ54" s="37"/>
      <c r="BIA54" s="37"/>
      <c r="BIB54" s="37"/>
      <c r="BIC54" s="138"/>
      <c r="BID54" s="37"/>
      <c r="BIE54" s="37"/>
      <c r="BIF54" s="37"/>
      <c r="BIG54" s="37"/>
      <c r="BIH54" s="37"/>
      <c r="BII54" s="75"/>
      <c r="BIJ54" s="65"/>
      <c r="BIK54" s="65"/>
      <c r="BIL54" s="65"/>
      <c r="BIM54" s="65"/>
      <c r="BIN54" s="37"/>
      <c r="BIO54" s="138"/>
      <c r="BIP54" s="37"/>
      <c r="BIQ54" s="37"/>
      <c r="BIR54" s="37"/>
      <c r="BIS54" s="37"/>
      <c r="BIT54" s="37"/>
      <c r="BIU54" s="75"/>
      <c r="BIV54" s="37"/>
      <c r="BIW54" s="37"/>
      <c r="BIX54" s="37"/>
      <c r="BIY54" s="37"/>
      <c r="BIZ54" s="37"/>
      <c r="BJA54" s="138"/>
      <c r="BJB54" s="37"/>
      <c r="BJC54" s="37"/>
      <c r="BJD54" s="37"/>
      <c r="BJE54" s="37"/>
      <c r="BJF54" s="37"/>
      <c r="BJG54" s="75"/>
      <c r="BJH54" s="37"/>
      <c r="BJI54" s="37"/>
      <c r="BJJ54" s="37"/>
      <c r="BJK54" s="37"/>
      <c r="BJL54" s="37"/>
      <c r="BJM54" s="38"/>
      <c r="BJN54" s="90"/>
    </row>
    <row r="55" spans="1:1626" ht="20.100000000000001" customHeight="1" x14ac:dyDescent="0.25">
      <c r="A55" s="100" t="s">
        <v>18</v>
      </c>
      <c r="B55" s="63"/>
      <c r="C55" s="207"/>
      <c r="D55" s="146" t="str">
        <f t="shared" si="0"/>
        <v>0h</v>
      </c>
      <c r="E55" s="39">
        <v>0</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40"/>
      <c r="AHW55" s="66"/>
      <c r="AHX55" s="66"/>
      <c r="AHY55" s="66"/>
      <c r="AHZ55" s="41"/>
      <c r="AIA55" s="134"/>
      <c r="AIB55" s="41"/>
      <c r="AIC55" s="41"/>
      <c r="AID55" s="41"/>
      <c r="AIE55" s="41"/>
      <c r="AIF55" s="41"/>
      <c r="AIG55" s="139"/>
      <c r="AIH55" s="41"/>
      <c r="AII55" s="41"/>
      <c r="AIJ55" s="41"/>
      <c r="AIK55" s="41"/>
      <c r="AIL55" s="41"/>
      <c r="AIM55" s="76"/>
      <c r="AIN55" s="41"/>
      <c r="AIO55" s="41"/>
      <c r="AIP55" s="41"/>
      <c r="AIQ55" s="41"/>
      <c r="AIR55" s="41"/>
      <c r="AIS55" s="139"/>
      <c r="AIT55" s="41"/>
      <c r="AIU55" s="41"/>
      <c r="AIV55" s="41"/>
      <c r="AIW55" s="41"/>
      <c r="AIX55" s="41"/>
      <c r="AIY55" s="76"/>
      <c r="AIZ55" s="66"/>
      <c r="AJA55" s="66"/>
      <c r="AJB55" s="66"/>
      <c r="AJC55" s="66"/>
      <c r="AJD55" s="41"/>
      <c r="AJE55" s="139"/>
      <c r="AJF55" s="41"/>
      <c r="AJG55" s="41"/>
      <c r="AJH55" s="41"/>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40"/>
      <c r="BHG55" s="66"/>
      <c r="BHH55" s="66"/>
      <c r="BHI55" s="66"/>
      <c r="BHJ55" s="41"/>
      <c r="BHK55" s="134"/>
      <c r="BHL55" s="41"/>
      <c r="BHM55" s="41"/>
      <c r="BHN55" s="41"/>
      <c r="BHO55" s="41"/>
      <c r="BHP55" s="41"/>
      <c r="BHQ55" s="139"/>
      <c r="BHR55" s="41"/>
      <c r="BHS55" s="41"/>
      <c r="BHT55" s="41"/>
      <c r="BHU55" s="41"/>
      <c r="BHV55" s="41"/>
      <c r="BHW55" s="76"/>
      <c r="BHX55" s="41"/>
      <c r="BHY55" s="41"/>
      <c r="BHZ55" s="41"/>
      <c r="BIA55" s="41"/>
      <c r="BIB55" s="41"/>
      <c r="BIC55" s="139"/>
      <c r="BID55" s="41"/>
      <c r="BIE55" s="41"/>
      <c r="BIF55" s="41"/>
      <c r="BIG55" s="41"/>
      <c r="BIH55" s="41"/>
      <c r="BII55" s="76"/>
      <c r="BIJ55" s="66"/>
      <c r="BIK55" s="66"/>
      <c r="BIL55" s="66"/>
      <c r="BIM55" s="66"/>
      <c r="BIN55" s="41"/>
      <c r="BIO55" s="139"/>
      <c r="BIP55" s="41"/>
      <c r="BIQ55" s="41"/>
      <c r="BIR55" s="41"/>
      <c r="BIS55" s="41"/>
      <c r="BIT55" s="41"/>
      <c r="BIU55" s="76"/>
      <c r="BIV55" s="41"/>
      <c r="BIW55" s="41"/>
      <c r="BIX55" s="41"/>
      <c r="BIY55" s="41"/>
      <c r="BIZ55" s="41"/>
      <c r="BJA55" s="139"/>
      <c r="BJB55" s="41"/>
      <c r="BJC55" s="41"/>
      <c r="BJD55" s="41"/>
      <c r="BJE55" s="41"/>
      <c r="BJF55" s="41"/>
      <c r="BJG55" s="76"/>
      <c r="BJH55" s="41"/>
      <c r="BJI55" s="41"/>
      <c r="BJJ55" s="41"/>
      <c r="BJK55" s="41"/>
      <c r="BJL55" s="41"/>
      <c r="BJM55" s="42"/>
      <c r="BJN55" s="90"/>
    </row>
    <row r="56" spans="1:1626" ht="20.100000000000001" customHeight="1" x14ac:dyDescent="0.25">
      <c r="A56" s="100" t="s">
        <v>19</v>
      </c>
      <c r="B56" s="63"/>
      <c r="C56" s="209"/>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28"/>
      <c r="BHG56" s="67"/>
      <c r="BHH56" s="67"/>
      <c r="BHI56" s="67"/>
      <c r="BHJ56" s="29"/>
      <c r="BHK56" s="131"/>
      <c r="BHL56" s="29"/>
      <c r="BHM56" s="29"/>
      <c r="BHN56" s="29"/>
      <c r="BHO56" s="29"/>
      <c r="BHP56" s="29"/>
      <c r="BHQ56" s="136"/>
      <c r="BHR56" s="29"/>
      <c r="BHS56" s="29"/>
      <c r="BHT56" s="29"/>
      <c r="BHU56" s="29"/>
      <c r="BHV56" s="29"/>
      <c r="BHW56" s="73"/>
      <c r="BHX56" s="29"/>
      <c r="BHY56" s="29"/>
      <c r="BHZ56" s="29"/>
      <c r="BIA56" s="29"/>
      <c r="BIB56" s="29"/>
      <c r="BIC56" s="136"/>
      <c r="BID56" s="29"/>
      <c r="BIE56" s="29"/>
      <c r="BIF56" s="29"/>
      <c r="BIG56" s="29"/>
      <c r="BIH56" s="29"/>
      <c r="BII56" s="73"/>
      <c r="BIJ56" s="67"/>
      <c r="BIK56" s="67"/>
      <c r="BIL56" s="67"/>
      <c r="BIM56" s="67"/>
      <c r="BIN56" s="29"/>
      <c r="BIO56" s="136"/>
      <c r="BIP56" s="29"/>
      <c r="BIQ56" s="29"/>
      <c r="BIR56" s="29"/>
      <c r="BIS56" s="29"/>
      <c r="BIT56" s="29"/>
      <c r="BIU56" s="73"/>
      <c r="BIV56" s="29"/>
      <c r="BIW56" s="29"/>
      <c r="BIX56" s="29"/>
      <c r="BIY56" s="29"/>
      <c r="BIZ56" s="29"/>
      <c r="BJA56" s="136"/>
      <c r="BJB56" s="29"/>
      <c r="BJC56" s="29"/>
      <c r="BJD56" s="29"/>
      <c r="BJE56" s="29"/>
      <c r="BJF56" s="29"/>
      <c r="BJG56" s="73"/>
      <c r="BJH56" s="29"/>
      <c r="BJI56" s="29"/>
      <c r="BJJ56" s="29"/>
      <c r="BJK56" s="29"/>
      <c r="BJL56" s="29"/>
      <c r="BJM56" s="30"/>
      <c r="BJN56" s="90"/>
    </row>
    <row r="57" spans="1:1626" ht="20.100000000000001" customHeight="1" x14ac:dyDescent="0.25">
      <c r="A57" s="100" t="s">
        <v>18</v>
      </c>
      <c r="B57" s="63"/>
      <c r="C57" s="207"/>
      <c r="D57" s="146" t="str">
        <f t="shared" si="0"/>
        <v>0h</v>
      </c>
      <c r="E57" s="31">
        <v>0</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32"/>
      <c r="AMM57" s="64"/>
      <c r="AMN57" s="64"/>
      <c r="AMO57" s="64"/>
      <c r="AMP57" s="33"/>
      <c r="AMQ57" s="132"/>
      <c r="AMR57" s="33"/>
      <c r="AMS57" s="33"/>
      <c r="AMT57" s="33"/>
      <c r="AMU57" s="33"/>
      <c r="AMV57" s="33"/>
      <c r="AMW57" s="137"/>
      <c r="AMX57" s="33"/>
      <c r="AMY57" s="33"/>
      <c r="AMZ57" s="33"/>
      <c r="ANA57" s="33"/>
      <c r="ANB57" s="33"/>
      <c r="ANC57" s="74"/>
      <c r="AND57" s="33"/>
      <c r="ANE57" s="33"/>
      <c r="ANF57" s="33"/>
      <c r="ANG57" s="33"/>
      <c r="ANH57" s="33"/>
      <c r="ANI57" s="137"/>
      <c r="ANJ57" s="33"/>
      <c r="ANK57" s="33"/>
      <c r="ANL57" s="33"/>
      <c r="ANM57" s="33"/>
      <c r="ANN57" s="33"/>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32"/>
      <c r="BHG57" s="64"/>
      <c r="BHH57" s="64"/>
      <c r="BHI57" s="64"/>
      <c r="BHJ57" s="33"/>
      <c r="BHK57" s="132"/>
      <c r="BHL57" s="33"/>
      <c r="BHM57" s="33"/>
      <c r="BHN57" s="33"/>
      <c r="BHO57" s="33"/>
      <c r="BHP57" s="33"/>
      <c r="BHQ57" s="137"/>
      <c r="BHR57" s="33"/>
      <c r="BHS57" s="33"/>
      <c r="BHT57" s="33"/>
      <c r="BHU57" s="33"/>
      <c r="BHV57" s="33"/>
      <c r="BHW57" s="74"/>
      <c r="BHX57" s="33"/>
      <c r="BHY57" s="33"/>
      <c r="BHZ57" s="33"/>
      <c r="BIA57" s="33"/>
      <c r="BIB57" s="33"/>
      <c r="BIC57" s="137"/>
      <c r="BID57" s="33"/>
      <c r="BIE57" s="33"/>
      <c r="BIF57" s="33"/>
      <c r="BIG57" s="33"/>
      <c r="BIH57" s="33"/>
      <c r="BII57" s="74"/>
      <c r="BIJ57" s="64"/>
      <c r="BIK57" s="64"/>
      <c r="BIL57" s="64"/>
      <c r="BIM57" s="64"/>
      <c r="BIN57" s="33"/>
      <c r="BIO57" s="137"/>
      <c r="BIP57" s="33"/>
      <c r="BIQ57" s="33"/>
      <c r="BIR57" s="33"/>
      <c r="BIS57" s="33"/>
      <c r="BIT57" s="33"/>
      <c r="BIU57" s="74"/>
      <c r="BIV57" s="33"/>
      <c r="BIW57" s="33"/>
      <c r="BIX57" s="33"/>
      <c r="BIY57" s="33"/>
      <c r="BIZ57" s="33"/>
      <c r="BJA57" s="137"/>
      <c r="BJB57" s="33"/>
      <c r="BJC57" s="33"/>
      <c r="BJD57" s="33"/>
      <c r="BJE57" s="33"/>
      <c r="BJF57" s="33"/>
      <c r="BJG57" s="74"/>
      <c r="BJH57" s="33"/>
      <c r="BJI57" s="33"/>
      <c r="BJJ57" s="33"/>
      <c r="BJK57" s="33"/>
      <c r="BJL57" s="33"/>
      <c r="BJM57" s="34"/>
      <c r="BJN57" s="90"/>
    </row>
    <row r="58" spans="1:1626" ht="20.100000000000001" customHeight="1" x14ac:dyDescent="0.3">
      <c r="A58" s="100" t="s">
        <v>19</v>
      </c>
      <c r="B58" s="63"/>
      <c r="C58" s="208"/>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36"/>
      <c r="BHG58" s="65"/>
      <c r="BHH58" s="65"/>
      <c r="BHI58" s="65"/>
      <c r="BHJ58" s="37"/>
      <c r="BHK58" s="133"/>
      <c r="BHL58" s="37"/>
      <c r="BHM58" s="37"/>
      <c r="BHN58" s="37"/>
      <c r="BHO58" s="37"/>
      <c r="BHP58" s="37"/>
      <c r="BHQ58" s="138"/>
      <c r="BHR58" s="37"/>
      <c r="BHS58" s="37"/>
      <c r="BHT58" s="37"/>
      <c r="BHU58" s="37"/>
      <c r="BHV58" s="37"/>
      <c r="BHW58" s="75"/>
      <c r="BHX58" s="37"/>
      <c r="BHY58" s="37"/>
      <c r="BHZ58" s="37"/>
      <c r="BIA58" s="37"/>
      <c r="BIB58" s="37"/>
      <c r="BIC58" s="138"/>
      <c r="BID58" s="37"/>
      <c r="BIE58" s="37"/>
      <c r="BIF58" s="37"/>
      <c r="BIG58" s="37"/>
      <c r="BIH58" s="37"/>
      <c r="BII58" s="75"/>
      <c r="BIJ58" s="65"/>
      <c r="BIK58" s="65"/>
      <c r="BIL58" s="65"/>
      <c r="BIM58" s="65"/>
      <c r="BIN58" s="37"/>
      <c r="BIO58" s="138"/>
      <c r="BIP58" s="37"/>
      <c r="BIQ58" s="37"/>
      <c r="BIR58" s="37"/>
      <c r="BIS58" s="37"/>
      <c r="BIT58" s="37"/>
      <c r="BIU58" s="75"/>
      <c r="BIV58" s="37"/>
      <c r="BIW58" s="37"/>
      <c r="BIX58" s="37"/>
      <c r="BIY58" s="37"/>
      <c r="BIZ58" s="37"/>
      <c r="BJA58" s="138"/>
      <c r="BJB58" s="37"/>
      <c r="BJC58" s="37"/>
      <c r="BJD58" s="37"/>
      <c r="BJE58" s="37"/>
      <c r="BJF58" s="37"/>
      <c r="BJG58" s="75"/>
      <c r="BJH58" s="37"/>
      <c r="BJI58" s="37"/>
      <c r="BJJ58" s="37"/>
      <c r="BJK58" s="37"/>
      <c r="BJL58" s="37"/>
      <c r="BJM58" s="38"/>
      <c r="BJN58" s="90"/>
    </row>
    <row r="59" spans="1:1626" ht="20.100000000000001" customHeight="1" x14ac:dyDescent="0.25">
      <c r="A59" s="100" t="s">
        <v>18</v>
      </c>
      <c r="B59" s="63"/>
      <c r="C59" s="207"/>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40"/>
      <c r="BHG59" s="66"/>
      <c r="BHH59" s="66"/>
      <c r="BHI59" s="66"/>
      <c r="BHJ59" s="41"/>
      <c r="BHK59" s="134"/>
      <c r="BHL59" s="41"/>
      <c r="BHM59" s="41"/>
      <c r="BHN59" s="41"/>
      <c r="BHO59" s="41"/>
      <c r="BHP59" s="41"/>
      <c r="BHQ59" s="139"/>
      <c r="BHR59" s="41"/>
      <c r="BHS59" s="41"/>
      <c r="BHT59" s="41"/>
      <c r="BHU59" s="41"/>
      <c r="BHV59" s="41"/>
      <c r="BHW59" s="76"/>
      <c r="BHX59" s="41"/>
      <c r="BHY59" s="41"/>
      <c r="BHZ59" s="41"/>
      <c r="BIA59" s="41"/>
      <c r="BIB59" s="41"/>
      <c r="BIC59" s="139"/>
      <c r="BID59" s="41"/>
      <c r="BIE59" s="41"/>
      <c r="BIF59" s="41"/>
      <c r="BIG59" s="41"/>
      <c r="BIH59" s="41"/>
      <c r="BII59" s="76"/>
      <c r="BIJ59" s="66"/>
      <c r="BIK59" s="66"/>
      <c r="BIL59" s="66"/>
      <c r="BIM59" s="66"/>
      <c r="BIN59" s="41"/>
      <c r="BIO59" s="139"/>
      <c r="BIP59" s="41"/>
      <c r="BIQ59" s="41"/>
      <c r="BIR59" s="41"/>
      <c r="BIS59" s="41"/>
      <c r="BIT59" s="41"/>
      <c r="BIU59" s="76"/>
      <c r="BIV59" s="41"/>
      <c r="BIW59" s="41"/>
      <c r="BIX59" s="41"/>
      <c r="BIY59" s="41"/>
      <c r="BIZ59" s="41"/>
      <c r="BJA59" s="139"/>
      <c r="BJB59" s="41"/>
      <c r="BJC59" s="41"/>
      <c r="BJD59" s="41"/>
      <c r="BJE59" s="41"/>
      <c r="BJF59" s="41"/>
      <c r="BJG59" s="76"/>
      <c r="BJH59" s="41"/>
      <c r="BJI59" s="41"/>
      <c r="BJJ59" s="41"/>
      <c r="BJK59" s="41"/>
      <c r="BJL59" s="41"/>
      <c r="BJM59" s="42"/>
      <c r="BJN59" s="90"/>
    </row>
    <row r="60" spans="1:1626" ht="20.100000000000001" customHeight="1" x14ac:dyDescent="0.3">
      <c r="A60" s="100" t="s">
        <v>19</v>
      </c>
      <c r="B60" s="63"/>
      <c r="C60" s="208"/>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28"/>
      <c r="BHG60" s="67"/>
      <c r="BHH60" s="67"/>
      <c r="BHI60" s="67"/>
      <c r="BHJ60" s="29"/>
      <c r="BHK60" s="131"/>
      <c r="BHL60" s="29"/>
      <c r="BHM60" s="29"/>
      <c r="BHN60" s="29"/>
      <c r="BHO60" s="29"/>
      <c r="BHP60" s="29"/>
      <c r="BHQ60" s="136"/>
      <c r="BHR60" s="29"/>
      <c r="BHS60" s="29"/>
      <c r="BHT60" s="29"/>
      <c r="BHU60" s="29"/>
      <c r="BHV60" s="29"/>
      <c r="BHW60" s="73"/>
      <c r="BHX60" s="29"/>
      <c r="BHY60" s="29"/>
      <c r="BHZ60" s="29"/>
      <c r="BIA60" s="29"/>
      <c r="BIB60" s="29"/>
      <c r="BIC60" s="136"/>
      <c r="BID60" s="29"/>
      <c r="BIE60" s="29"/>
      <c r="BIF60" s="29"/>
      <c r="BIG60" s="29"/>
      <c r="BIH60" s="29"/>
      <c r="BII60" s="73"/>
      <c r="BIJ60" s="67"/>
      <c r="BIK60" s="67"/>
      <c r="BIL60" s="67"/>
      <c r="BIM60" s="67"/>
      <c r="BIN60" s="29"/>
      <c r="BIO60" s="136"/>
      <c r="BIP60" s="29"/>
      <c r="BIQ60" s="29"/>
      <c r="BIR60" s="29"/>
      <c r="BIS60" s="29"/>
      <c r="BIT60" s="29"/>
      <c r="BIU60" s="73"/>
      <c r="BIV60" s="29"/>
      <c r="BIW60" s="29"/>
      <c r="BIX60" s="29"/>
      <c r="BIY60" s="29"/>
      <c r="BIZ60" s="29"/>
      <c r="BJA60" s="136"/>
      <c r="BJB60" s="29"/>
      <c r="BJC60" s="29"/>
      <c r="BJD60" s="29"/>
      <c r="BJE60" s="29"/>
      <c r="BJF60" s="29"/>
      <c r="BJG60" s="73"/>
      <c r="BJH60" s="29"/>
      <c r="BJI60" s="29"/>
      <c r="BJJ60" s="29"/>
      <c r="BJK60" s="29"/>
      <c r="BJL60" s="29"/>
      <c r="BJM60" s="30"/>
      <c r="BJN60" s="90"/>
    </row>
    <row r="61" spans="1:1626" ht="20.100000000000001" customHeight="1" x14ac:dyDescent="0.25">
      <c r="A61" s="100" t="s">
        <v>18</v>
      </c>
      <c r="B61" s="63"/>
      <c r="C61" s="207"/>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32"/>
      <c r="BHG61" s="64"/>
      <c r="BHH61" s="64"/>
      <c r="BHI61" s="64"/>
      <c r="BHJ61" s="33"/>
      <c r="BHK61" s="132"/>
      <c r="BHL61" s="33"/>
      <c r="BHM61" s="33"/>
      <c r="BHN61" s="33"/>
      <c r="BHO61" s="33"/>
      <c r="BHP61" s="33"/>
      <c r="BHQ61" s="137"/>
      <c r="BHR61" s="33"/>
      <c r="BHS61" s="33"/>
      <c r="BHT61" s="33"/>
      <c r="BHU61" s="33"/>
      <c r="BHV61" s="33"/>
      <c r="BHW61" s="74"/>
      <c r="BHX61" s="33"/>
      <c r="BHY61" s="33"/>
      <c r="BHZ61" s="33"/>
      <c r="BIA61" s="33"/>
      <c r="BIB61" s="33"/>
      <c r="BIC61" s="137"/>
      <c r="BID61" s="33"/>
      <c r="BIE61" s="33"/>
      <c r="BIF61" s="33"/>
      <c r="BIG61" s="33"/>
      <c r="BIH61" s="33"/>
      <c r="BII61" s="74"/>
      <c r="BIJ61" s="64"/>
      <c r="BIK61" s="64"/>
      <c r="BIL61" s="64"/>
      <c r="BIM61" s="64"/>
      <c r="BIN61" s="33"/>
      <c r="BIO61" s="137"/>
      <c r="BIP61" s="33"/>
      <c r="BIQ61" s="33"/>
      <c r="BIR61" s="33"/>
      <c r="BIS61" s="33"/>
      <c r="BIT61" s="33"/>
      <c r="BIU61" s="74"/>
      <c r="BIV61" s="33"/>
      <c r="BIW61" s="33"/>
      <c r="BIX61" s="33"/>
      <c r="BIY61" s="33"/>
      <c r="BIZ61" s="33"/>
      <c r="BJA61" s="137"/>
      <c r="BJB61" s="33"/>
      <c r="BJC61" s="33"/>
      <c r="BJD61" s="33"/>
      <c r="BJE61" s="33"/>
      <c r="BJF61" s="33"/>
      <c r="BJG61" s="74"/>
      <c r="BJH61" s="33"/>
      <c r="BJI61" s="33"/>
      <c r="BJJ61" s="33"/>
      <c r="BJK61" s="33"/>
      <c r="BJL61" s="33"/>
      <c r="BJM61" s="34"/>
      <c r="BJN61" s="90"/>
    </row>
    <row r="62" spans="1:1626" ht="20.100000000000001" customHeight="1" x14ac:dyDescent="0.25">
      <c r="A62" s="100" t="s">
        <v>19</v>
      </c>
      <c r="B62" s="63"/>
      <c r="C62" s="209"/>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36"/>
      <c r="BHG62" s="65"/>
      <c r="BHH62" s="65"/>
      <c r="BHI62" s="65"/>
      <c r="BHJ62" s="37"/>
      <c r="BHK62" s="133"/>
      <c r="BHL62" s="37"/>
      <c r="BHM62" s="37"/>
      <c r="BHN62" s="37"/>
      <c r="BHO62" s="37"/>
      <c r="BHP62" s="37"/>
      <c r="BHQ62" s="138"/>
      <c r="BHR62" s="37"/>
      <c r="BHS62" s="37"/>
      <c r="BHT62" s="37"/>
      <c r="BHU62" s="37"/>
      <c r="BHV62" s="37"/>
      <c r="BHW62" s="75"/>
      <c r="BHX62" s="37"/>
      <c r="BHY62" s="37"/>
      <c r="BHZ62" s="37"/>
      <c r="BIA62" s="37"/>
      <c r="BIB62" s="37"/>
      <c r="BIC62" s="138"/>
      <c r="BID62" s="37"/>
      <c r="BIE62" s="37"/>
      <c r="BIF62" s="37"/>
      <c r="BIG62" s="37"/>
      <c r="BIH62" s="37"/>
      <c r="BII62" s="75"/>
      <c r="BIJ62" s="65"/>
      <c r="BIK62" s="65"/>
      <c r="BIL62" s="65"/>
      <c r="BIM62" s="65"/>
      <c r="BIN62" s="37"/>
      <c r="BIO62" s="138"/>
      <c r="BIP62" s="37"/>
      <c r="BIQ62" s="37"/>
      <c r="BIR62" s="37"/>
      <c r="BIS62" s="37"/>
      <c r="BIT62" s="37"/>
      <c r="BIU62" s="75"/>
      <c r="BIV62" s="37"/>
      <c r="BIW62" s="37"/>
      <c r="BIX62" s="37"/>
      <c r="BIY62" s="37"/>
      <c r="BIZ62" s="37"/>
      <c r="BJA62" s="138"/>
      <c r="BJB62" s="37"/>
      <c r="BJC62" s="37"/>
      <c r="BJD62" s="37"/>
      <c r="BJE62" s="37"/>
      <c r="BJF62" s="37"/>
      <c r="BJG62" s="75"/>
      <c r="BJH62" s="37"/>
      <c r="BJI62" s="37"/>
      <c r="BJJ62" s="37"/>
      <c r="BJK62" s="37"/>
      <c r="BJL62" s="37"/>
      <c r="BJM62" s="38"/>
      <c r="BJN62" s="90"/>
    </row>
    <row r="63" spans="1:1626" ht="20.100000000000001" customHeight="1" x14ac:dyDescent="0.25">
      <c r="A63" s="100" t="s">
        <v>18</v>
      </c>
      <c r="B63" s="63"/>
      <c r="C63" s="207"/>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40"/>
      <c r="BHG63" s="66"/>
      <c r="BHH63" s="66"/>
      <c r="BHI63" s="66"/>
      <c r="BHJ63" s="41"/>
      <c r="BHK63" s="134"/>
      <c r="BHL63" s="41"/>
      <c r="BHM63" s="41"/>
      <c r="BHN63" s="41"/>
      <c r="BHO63" s="41"/>
      <c r="BHP63" s="41"/>
      <c r="BHQ63" s="139"/>
      <c r="BHR63" s="41"/>
      <c r="BHS63" s="41"/>
      <c r="BHT63" s="41"/>
      <c r="BHU63" s="41"/>
      <c r="BHV63" s="41"/>
      <c r="BHW63" s="76"/>
      <c r="BHX63" s="41"/>
      <c r="BHY63" s="41"/>
      <c r="BHZ63" s="41"/>
      <c r="BIA63" s="41"/>
      <c r="BIB63" s="41"/>
      <c r="BIC63" s="139"/>
      <c r="BID63" s="41"/>
      <c r="BIE63" s="41"/>
      <c r="BIF63" s="41"/>
      <c r="BIG63" s="41"/>
      <c r="BIH63" s="41"/>
      <c r="BII63" s="76"/>
      <c r="BIJ63" s="66"/>
      <c r="BIK63" s="66"/>
      <c r="BIL63" s="66"/>
      <c r="BIM63" s="66"/>
      <c r="BIN63" s="41"/>
      <c r="BIO63" s="139"/>
      <c r="BIP63" s="41"/>
      <c r="BIQ63" s="41"/>
      <c r="BIR63" s="41"/>
      <c r="BIS63" s="41"/>
      <c r="BIT63" s="41"/>
      <c r="BIU63" s="76"/>
      <c r="BIV63" s="41"/>
      <c r="BIW63" s="41"/>
      <c r="BIX63" s="41"/>
      <c r="BIY63" s="41"/>
      <c r="BIZ63" s="41"/>
      <c r="BJA63" s="139"/>
      <c r="BJB63" s="41"/>
      <c r="BJC63" s="41"/>
      <c r="BJD63" s="41"/>
      <c r="BJE63" s="41"/>
      <c r="BJF63" s="41"/>
      <c r="BJG63" s="76"/>
      <c r="BJH63" s="41"/>
      <c r="BJI63" s="41"/>
      <c r="BJJ63" s="41"/>
      <c r="BJK63" s="41"/>
      <c r="BJL63" s="41"/>
      <c r="BJM63" s="42"/>
      <c r="BJN63" s="90"/>
    </row>
    <row r="64" spans="1:1626" ht="20.100000000000001" customHeight="1" x14ac:dyDescent="0.3">
      <c r="A64" s="100" t="s">
        <v>19</v>
      </c>
      <c r="B64" s="63"/>
      <c r="C64" s="208"/>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28"/>
      <c r="BHG64" s="67"/>
      <c r="BHH64" s="67"/>
      <c r="BHI64" s="67"/>
      <c r="BHJ64" s="29"/>
      <c r="BHK64" s="131"/>
      <c r="BHL64" s="29"/>
      <c r="BHM64" s="29"/>
      <c r="BHN64" s="29"/>
      <c r="BHO64" s="29"/>
      <c r="BHP64" s="29"/>
      <c r="BHQ64" s="136"/>
      <c r="BHR64" s="29"/>
      <c r="BHS64" s="29"/>
      <c r="BHT64" s="29"/>
      <c r="BHU64" s="29"/>
      <c r="BHV64" s="29"/>
      <c r="BHW64" s="73"/>
      <c r="BHX64" s="29"/>
      <c r="BHY64" s="29"/>
      <c r="BHZ64" s="29"/>
      <c r="BIA64" s="29"/>
      <c r="BIB64" s="29"/>
      <c r="BIC64" s="136"/>
      <c r="BID64" s="29"/>
      <c r="BIE64" s="29"/>
      <c r="BIF64" s="29"/>
      <c r="BIG64" s="29"/>
      <c r="BIH64" s="29"/>
      <c r="BII64" s="73"/>
      <c r="BIJ64" s="67"/>
      <c r="BIK64" s="67"/>
      <c r="BIL64" s="67"/>
      <c r="BIM64" s="67"/>
      <c r="BIN64" s="29"/>
      <c r="BIO64" s="136"/>
      <c r="BIP64" s="29"/>
      <c r="BIQ64" s="29"/>
      <c r="BIR64" s="29"/>
      <c r="BIS64" s="29"/>
      <c r="BIT64" s="29"/>
      <c r="BIU64" s="73"/>
      <c r="BIV64" s="29"/>
      <c r="BIW64" s="29"/>
      <c r="BIX64" s="29"/>
      <c r="BIY64" s="29"/>
      <c r="BIZ64" s="29"/>
      <c r="BJA64" s="136"/>
      <c r="BJB64" s="29"/>
      <c r="BJC64" s="29"/>
      <c r="BJD64" s="29"/>
      <c r="BJE64" s="29"/>
      <c r="BJF64" s="29"/>
      <c r="BJG64" s="73"/>
      <c r="BJH64" s="29"/>
      <c r="BJI64" s="29"/>
      <c r="BJJ64" s="29"/>
      <c r="BJK64" s="29"/>
      <c r="BJL64" s="29"/>
      <c r="BJM64" s="30"/>
      <c r="BJN64" s="90"/>
    </row>
    <row r="65" spans="1:1626" ht="20.100000000000001" customHeight="1" x14ac:dyDescent="0.25">
      <c r="A65" s="100" t="s">
        <v>18</v>
      </c>
      <c r="B65" s="63"/>
      <c r="C65" s="207"/>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32"/>
      <c r="BHG65" s="64"/>
      <c r="BHH65" s="64"/>
      <c r="BHI65" s="64"/>
      <c r="BHJ65" s="33"/>
      <c r="BHK65" s="132"/>
      <c r="BHL65" s="33"/>
      <c r="BHM65" s="33"/>
      <c r="BHN65" s="33"/>
      <c r="BHO65" s="33"/>
      <c r="BHP65" s="33"/>
      <c r="BHQ65" s="137"/>
      <c r="BHR65" s="33"/>
      <c r="BHS65" s="33"/>
      <c r="BHT65" s="33"/>
      <c r="BHU65" s="33"/>
      <c r="BHV65" s="33"/>
      <c r="BHW65" s="74"/>
      <c r="BHX65" s="33"/>
      <c r="BHY65" s="33"/>
      <c r="BHZ65" s="33"/>
      <c r="BIA65" s="33"/>
      <c r="BIB65" s="33"/>
      <c r="BIC65" s="137"/>
      <c r="BID65" s="33"/>
      <c r="BIE65" s="33"/>
      <c r="BIF65" s="33"/>
      <c r="BIG65" s="33"/>
      <c r="BIH65" s="33"/>
      <c r="BII65" s="74"/>
      <c r="BIJ65" s="64"/>
      <c r="BIK65" s="64"/>
      <c r="BIL65" s="64"/>
      <c r="BIM65" s="64"/>
      <c r="BIN65" s="33"/>
      <c r="BIO65" s="137"/>
      <c r="BIP65" s="33"/>
      <c r="BIQ65" s="33"/>
      <c r="BIR65" s="33"/>
      <c r="BIS65" s="33"/>
      <c r="BIT65" s="33"/>
      <c r="BIU65" s="74"/>
      <c r="BIV65" s="33"/>
      <c r="BIW65" s="33"/>
      <c r="BIX65" s="33"/>
      <c r="BIY65" s="33"/>
      <c r="BIZ65" s="33"/>
      <c r="BJA65" s="137"/>
      <c r="BJB65" s="33"/>
      <c r="BJC65" s="33"/>
      <c r="BJD65" s="33"/>
      <c r="BJE65" s="33"/>
      <c r="BJF65" s="33"/>
      <c r="BJG65" s="74"/>
      <c r="BJH65" s="33"/>
      <c r="BJI65" s="33"/>
      <c r="BJJ65" s="33"/>
      <c r="BJK65" s="33"/>
      <c r="BJL65" s="33"/>
      <c r="BJM65" s="34"/>
      <c r="BJN65" s="90"/>
    </row>
    <row r="66" spans="1:1626" ht="20.100000000000001" customHeight="1" x14ac:dyDescent="0.3">
      <c r="A66" s="100" t="s">
        <v>19</v>
      </c>
      <c r="B66" s="63"/>
      <c r="C66" s="208"/>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36"/>
      <c r="BHG66" s="65"/>
      <c r="BHH66" s="65"/>
      <c r="BHI66" s="65"/>
      <c r="BHJ66" s="37"/>
      <c r="BHK66" s="133"/>
      <c r="BHL66" s="37"/>
      <c r="BHM66" s="37"/>
      <c r="BHN66" s="37"/>
      <c r="BHO66" s="37"/>
      <c r="BHP66" s="37"/>
      <c r="BHQ66" s="138"/>
      <c r="BHR66" s="37"/>
      <c r="BHS66" s="37"/>
      <c r="BHT66" s="37"/>
      <c r="BHU66" s="37"/>
      <c r="BHV66" s="37"/>
      <c r="BHW66" s="75"/>
      <c r="BHX66" s="37"/>
      <c r="BHY66" s="37"/>
      <c r="BHZ66" s="37"/>
      <c r="BIA66" s="37"/>
      <c r="BIB66" s="37"/>
      <c r="BIC66" s="138"/>
      <c r="BID66" s="37"/>
      <c r="BIE66" s="37"/>
      <c r="BIF66" s="37"/>
      <c r="BIG66" s="37"/>
      <c r="BIH66" s="37"/>
      <c r="BII66" s="75"/>
      <c r="BIJ66" s="65"/>
      <c r="BIK66" s="65"/>
      <c r="BIL66" s="65"/>
      <c r="BIM66" s="65"/>
      <c r="BIN66" s="37"/>
      <c r="BIO66" s="138"/>
      <c r="BIP66" s="37"/>
      <c r="BIQ66" s="37"/>
      <c r="BIR66" s="37"/>
      <c r="BIS66" s="37"/>
      <c r="BIT66" s="37"/>
      <c r="BIU66" s="75"/>
      <c r="BIV66" s="37"/>
      <c r="BIW66" s="37"/>
      <c r="BIX66" s="37"/>
      <c r="BIY66" s="37"/>
      <c r="BIZ66" s="37"/>
      <c r="BJA66" s="138"/>
      <c r="BJB66" s="37"/>
      <c r="BJC66" s="37"/>
      <c r="BJD66" s="37"/>
      <c r="BJE66" s="37"/>
      <c r="BJF66" s="37"/>
      <c r="BJG66" s="75"/>
      <c r="BJH66" s="37"/>
      <c r="BJI66" s="37"/>
      <c r="BJJ66" s="37"/>
      <c r="BJK66" s="37"/>
      <c r="BJL66" s="37"/>
      <c r="BJM66" s="38"/>
      <c r="BJN66" s="90"/>
    </row>
    <row r="67" spans="1:1626" ht="20.100000000000001" customHeight="1" x14ac:dyDescent="0.25">
      <c r="A67" s="100" t="s">
        <v>18</v>
      </c>
      <c r="B67" s="63"/>
      <c r="C67" s="207"/>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40"/>
      <c r="BHG67" s="66"/>
      <c r="BHH67" s="66"/>
      <c r="BHI67" s="66"/>
      <c r="BHJ67" s="41"/>
      <c r="BHK67" s="134"/>
      <c r="BHL67" s="41"/>
      <c r="BHM67" s="41"/>
      <c r="BHN67" s="41"/>
      <c r="BHO67" s="41"/>
      <c r="BHP67" s="41"/>
      <c r="BHQ67" s="139"/>
      <c r="BHR67" s="41"/>
      <c r="BHS67" s="41"/>
      <c r="BHT67" s="41"/>
      <c r="BHU67" s="41"/>
      <c r="BHV67" s="41"/>
      <c r="BHW67" s="76"/>
      <c r="BHX67" s="41"/>
      <c r="BHY67" s="41"/>
      <c r="BHZ67" s="41"/>
      <c r="BIA67" s="41"/>
      <c r="BIB67" s="41"/>
      <c r="BIC67" s="139"/>
      <c r="BID67" s="41"/>
      <c r="BIE67" s="41"/>
      <c r="BIF67" s="41"/>
      <c r="BIG67" s="41"/>
      <c r="BIH67" s="41"/>
      <c r="BII67" s="76"/>
      <c r="BIJ67" s="66"/>
      <c r="BIK67" s="66"/>
      <c r="BIL67" s="66"/>
      <c r="BIM67" s="66"/>
      <c r="BIN67" s="41"/>
      <c r="BIO67" s="139"/>
      <c r="BIP67" s="41"/>
      <c r="BIQ67" s="41"/>
      <c r="BIR67" s="41"/>
      <c r="BIS67" s="41"/>
      <c r="BIT67" s="41"/>
      <c r="BIU67" s="76"/>
      <c r="BIV67" s="41"/>
      <c r="BIW67" s="41"/>
      <c r="BIX67" s="41"/>
      <c r="BIY67" s="41"/>
      <c r="BIZ67" s="41"/>
      <c r="BJA67" s="139"/>
      <c r="BJB67" s="41"/>
      <c r="BJC67" s="41"/>
      <c r="BJD67" s="41"/>
      <c r="BJE67" s="41"/>
      <c r="BJF67" s="41"/>
      <c r="BJG67" s="76"/>
      <c r="BJH67" s="41"/>
      <c r="BJI67" s="41"/>
      <c r="BJJ67" s="41"/>
      <c r="BJK67" s="41"/>
      <c r="BJL67" s="41"/>
      <c r="BJM67" s="42"/>
      <c r="BJN67" s="90"/>
    </row>
    <row r="68" spans="1:1626" ht="20.100000000000001" customHeight="1" x14ac:dyDescent="0.25">
      <c r="A68" s="100" t="s">
        <v>19</v>
      </c>
      <c r="B68" s="63"/>
      <c r="C68" s="209"/>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28"/>
      <c r="BHG68" s="67"/>
      <c r="BHH68" s="67"/>
      <c r="BHI68" s="67"/>
      <c r="BHJ68" s="29"/>
      <c r="BHK68" s="131"/>
      <c r="BHL68" s="29"/>
      <c r="BHM68" s="29"/>
      <c r="BHN68" s="29"/>
      <c r="BHO68" s="29"/>
      <c r="BHP68" s="29"/>
      <c r="BHQ68" s="136"/>
      <c r="BHR68" s="29"/>
      <c r="BHS68" s="29"/>
      <c r="BHT68" s="29"/>
      <c r="BHU68" s="29"/>
      <c r="BHV68" s="29"/>
      <c r="BHW68" s="73"/>
      <c r="BHX68" s="29"/>
      <c r="BHY68" s="29"/>
      <c r="BHZ68" s="29"/>
      <c r="BIA68" s="29"/>
      <c r="BIB68" s="29"/>
      <c r="BIC68" s="136"/>
      <c r="BID68" s="29"/>
      <c r="BIE68" s="29"/>
      <c r="BIF68" s="29"/>
      <c r="BIG68" s="29"/>
      <c r="BIH68" s="29"/>
      <c r="BII68" s="73"/>
      <c r="BIJ68" s="67"/>
      <c r="BIK68" s="67"/>
      <c r="BIL68" s="67"/>
      <c r="BIM68" s="67"/>
      <c r="BIN68" s="29"/>
      <c r="BIO68" s="136"/>
      <c r="BIP68" s="29"/>
      <c r="BIQ68" s="29"/>
      <c r="BIR68" s="29"/>
      <c r="BIS68" s="29"/>
      <c r="BIT68" s="29"/>
      <c r="BIU68" s="73"/>
      <c r="BIV68" s="29"/>
      <c r="BIW68" s="29"/>
      <c r="BIX68" s="29"/>
      <c r="BIY68" s="29"/>
      <c r="BIZ68" s="29"/>
      <c r="BJA68" s="136"/>
      <c r="BJB68" s="29"/>
      <c r="BJC68" s="29"/>
      <c r="BJD68" s="29"/>
      <c r="BJE68" s="29"/>
      <c r="BJF68" s="29"/>
      <c r="BJG68" s="73"/>
      <c r="BJH68" s="29"/>
      <c r="BJI68" s="29"/>
      <c r="BJJ68" s="29"/>
      <c r="BJK68" s="29"/>
      <c r="BJL68" s="29"/>
      <c r="BJM68" s="30"/>
      <c r="BJN68" s="90"/>
    </row>
    <row r="69" spans="1:1626" ht="20.100000000000001" customHeight="1" x14ac:dyDescent="0.25">
      <c r="A69" s="100" t="s">
        <v>18</v>
      </c>
      <c r="B69" s="63"/>
      <c r="C69" s="207"/>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32"/>
      <c r="BHG69" s="64"/>
      <c r="BHH69" s="64"/>
      <c r="BHI69" s="64"/>
      <c r="BHJ69" s="33"/>
      <c r="BHK69" s="132"/>
      <c r="BHL69" s="33"/>
      <c r="BHM69" s="33"/>
      <c r="BHN69" s="33"/>
      <c r="BHO69" s="33"/>
      <c r="BHP69" s="33"/>
      <c r="BHQ69" s="137"/>
      <c r="BHR69" s="33"/>
      <c r="BHS69" s="33"/>
      <c r="BHT69" s="33"/>
      <c r="BHU69" s="33"/>
      <c r="BHV69" s="33"/>
      <c r="BHW69" s="74"/>
      <c r="BHX69" s="33"/>
      <c r="BHY69" s="33"/>
      <c r="BHZ69" s="33"/>
      <c r="BIA69" s="33"/>
      <c r="BIB69" s="33"/>
      <c r="BIC69" s="137"/>
      <c r="BID69" s="33"/>
      <c r="BIE69" s="33"/>
      <c r="BIF69" s="33"/>
      <c r="BIG69" s="33"/>
      <c r="BIH69" s="33"/>
      <c r="BII69" s="74"/>
      <c r="BIJ69" s="64"/>
      <c r="BIK69" s="64"/>
      <c r="BIL69" s="64"/>
      <c r="BIM69" s="64"/>
      <c r="BIN69" s="33"/>
      <c r="BIO69" s="137"/>
      <c r="BIP69" s="33"/>
      <c r="BIQ69" s="33"/>
      <c r="BIR69" s="33"/>
      <c r="BIS69" s="33"/>
      <c r="BIT69" s="33"/>
      <c r="BIU69" s="74"/>
      <c r="BIV69" s="33"/>
      <c r="BIW69" s="33"/>
      <c r="BIX69" s="33"/>
      <c r="BIY69" s="33"/>
      <c r="BIZ69" s="33"/>
      <c r="BJA69" s="137"/>
      <c r="BJB69" s="33"/>
      <c r="BJC69" s="33"/>
      <c r="BJD69" s="33"/>
      <c r="BJE69" s="33"/>
      <c r="BJF69" s="33"/>
      <c r="BJG69" s="74"/>
      <c r="BJH69" s="33"/>
      <c r="BJI69" s="33"/>
      <c r="BJJ69" s="33"/>
      <c r="BJK69" s="33"/>
      <c r="BJL69" s="33"/>
      <c r="BJM69" s="34"/>
      <c r="BJN69" s="90"/>
    </row>
    <row r="70" spans="1:1626" ht="20.100000000000001" customHeight="1" x14ac:dyDescent="0.3">
      <c r="A70" s="100" t="s">
        <v>19</v>
      </c>
      <c r="B70" s="63"/>
      <c r="C70" s="208"/>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36"/>
      <c r="BHG70" s="65"/>
      <c r="BHH70" s="65"/>
      <c r="BHI70" s="65"/>
      <c r="BHJ70" s="37"/>
      <c r="BHK70" s="133"/>
      <c r="BHL70" s="37"/>
      <c r="BHM70" s="37"/>
      <c r="BHN70" s="37"/>
      <c r="BHO70" s="37"/>
      <c r="BHP70" s="37"/>
      <c r="BHQ70" s="138"/>
      <c r="BHR70" s="37"/>
      <c r="BHS70" s="37"/>
      <c r="BHT70" s="37"/>
      <c r="BHU70" s="37"/>
      <c r="BHV70" s="37"/>
      <c r="BHW70" s="75"/>
      <c r="BHX70" s="37"/>
      <c r="BHY70" s="37"/>
      <c r="BHZ70" s="37"/>
      <c r="BIA70" s="37"/>
      <c r="BIB70" s="37"/>
      <c r="BIC70" s="138"/>
      <c r="BID70" s="37"/>
      <c r="BIE70" s="37"/>
      <c r="BIF70" s="37"/>
      <c r="BIG70" s="37"/>
      <c r="BIH70" s="37"/>
      <c r="BII70" s="75"/>
      <c r="BIJ70" s="65"/>
      <c r="BIK70" s="65"/>
      <c r="BIL70" s="65"/>
      <c r="BIM70" s="65"/>
      <c r="BIN70" s="37"/>
      <c r="BIO70" s="138"/>
      <c r="BIP70" s="37"/>
      <c r="BIQ70" s="37"/>
      <c r="BIR70" s="37"/>
      <c r="BIS70" s="37"/>
      <c r="BIT70" s="37"/>
      <c r="BIU70" s="75"/>
      <c r="BIV70" s="37"/>
      <c r="BIW70" s="37"/>
      <c r="BIX70" s="37"/>
      <c r="BIY70" s="37"/>
      <c r="BIZ70" s="37"/>
      <c r="BJA70" s="138"/>
      <c r="BJB70" s="37"/>
      <c r="BJC70" s="37"/>
      <c r="BJD70" s="37"/>
      <c r="BJE70" s="37"/>
      <c r="BJF70" s="37"/>
      <c r="BJG70" s="75"/>
      <c r="BJH70" s="37"/>
      <c r="BJI70" s="37"/>
      <c r="BJJ70" s="37"/>
      <c r="BJK70" s="37"/>
      <c r="BJL70" s="37"/>
      <c r="BJM70" s="38"/>
      <c r="BJN70" s="90"/>
    </row>
    <row r="71" spans="1:1626" ht="20.100000000000001" customHeight="1" x14ac:dyDescent="0.25">
      <c r="A71" s="100" t="s">
        <v>18</v>
      </c>
      <c r="B71" s="63"/>
      <c r="C71" s="207"/>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40"/>
      <c r="BHG71" s="66"/>
      <c r="BHH71" s="66"/>
      <c r="BHI71" s="66"/>
      <c r="BHJ71" s="41"/>
      <c r="BHK71" s="134"/>
      <c r="BHL71" s="41"/>
      <c r="BHM71" s="41"/>
      <c r="BHN71" s="41"/>
      <c r="BHO71" s="41"/>
      <c r="BHP71" s="41"/>
      <c r="BHQ71" s="139"/>
      <c r="BHR71" s="41"/>
      <c r="BHS71" s="41"/>
      <c r="BHT71" s="41"/>
      <c r="BHU71" s="41"/>
      <c r="BHV71" s="41"/>
      <c r="BHW71" s="76"/>
      <c r="BHX71" s="41"/>
      <c r="BHY71" s="41"/>
      <c r="BHZ71" s="41"/>
      <c r="BIA71" s="41"/>
      <c r="BIB71" s="41"/>
      <c r="BIC71" s="139"/>
      <c r="BID71" s="41"/>
      <c r="BIE71" s="41"/>
      <c r="BIF71" s="41"/>
      <c r="BIG71" s="41"/>
      <c r="BIH71" s="41"/>
      <c r="BII71" s="76"/>
      <c r="BIJ71" s="66"/>
      <c r="BIK71" s="66"/>
      <c r="BIL71" s="66"/>
      <c r="BIM71" s="66"/>
      <c r="BIN71" s="41"/>
      <c r="BIO71" s="139"/>
      <c r="BIP71" s="41"/>
      <c r="BIQ71" s="41"/>
      <c r="BIR71" s="41"/>
      <c r="BIS71" s="41"/>
      <c r="BIT71" s="41"/>
      <c r="BIU71" s="76"/>
      <c r="BIV71" s="41"/>
      <c r="BIW71" s="41"/>
      <c r="BIX71" s="41"/>
      <c r="BIY71" s="41"/>
      <c r="BIZ71" s="41"/>
      <c r="BJA71" s="139"/>
      <c r="BJB71" s="41"/>
      <c r="BJC71" s="41"/>
      <c r="BJD71" s="41"/>
      <c r="BJE71" s="41"/>
      <c r="BJF71" s="41"/>
      <c r="BJG71" s="76"/>
      <c r="BJH71" s="41"/>
      <c r="BJI71" s="41"/>
      <c r="BJJ71" s="41"/>
      <c r="BJK71" s="41"/>
      <c r="BJL71" s="41"/>
      <c r="BJM71" s="42"/>
      <c r="BJN71" s="90"/>
    </row>
    <row r="72" spans="1:1626" ht="20.100000000000001" customHeight="1" x14ac:dyDescent="0.25">
      <c r="A72" s="100" t="s">
        <v>19</v>
      </c>
      <c r="B72" s="63"/>
      <c r="C72" s="209"/>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28"/>
      <c r="BHG72" s="67"/>
      <c r="BHH72" s="67"/>
      <c r="BHI72" s="67"/>
      <c r="BHJ72" s="29"/>
      <c r="BHK72" s="131"/>
      <c r="BHL72" s="29"/>
      <c r="BHM72" s="29"/>
      <c r="BHN72" s="29"/>
      <c r="BHO72" s="29"/>
      <c r="BHP72" s="29"/>
      <c r="BHQ72" s="136"/>
      <c r="BHR72" s="29"/>
      <c r="BHS72" s="29"/>
      <c r="BHT72" s="29"/>
      <c r="BHU72" s="29"/>
      <c r="BHV72" s="29"/>
      <c r="BHW72" s="73"/>
      <c r="BHX72" s="29"/>
      <c r="BHY72" s="29"/>
      <c r="BHZ72" s="29"/>
      <c r="BIA72" s="29"/>
      <c r="BIB72" s="29"/>
      <c r="BIC72" s="136"/>
      <c r="BID72" s="29"/>
      <c r="BIE72" s="29"/>
      <c r="BIF72" s="29"/>
      <c r="BIG72" s="29"/>
      <c r="BIH72" s="29"/>
      <c r="BII72" s="73"/>
      <c r="BIJ72" s="67"/>
      <c r="BIK72" s="67"/>
      <c r="BIL72" s="67"/>
      <c r="BIM72" s="67"/>
      <c r="BIN72" s="29"/>
      <c r="BIO72" s="136"/>
      <c r="BIP72" s="29"/>
      <c r="BIQ72" s="29"/>
      <c r="BIR72" s="29"/>
      <c r="BIS72" s="29"/>
      <c r="BIT72" s="29"/>
      <c r="BIU72" s="73"/>
      <c r="BIV72" s="29"/>
      <c r="BIW72" s="29"/>
      <c r="BIX72" s="29"/>
      <c r="BIY72" s="29"/>
      <c r="BIZ72" s="29"/>
      <c r="BJA72" s="136"/>
      <c r="BJB72" s="29"/>
      <c r="BJC72" s="29"/>
      <c r="BJD72" s="29"/>
      <c r="BJE72" s="29"/>
      <c r="BJF72" s="29"/>
      <c r="BJG72" s="73"/>
      <c r="BJH72" s="29"/>
      <c r="BJI72" s="29"/>
      <c r="BJJ72" s="29"/>
      <c r="BJK72" s="29"/>
      <c r="BJL72" s="29"/>
      <c r="BJM72" s="30"/>
      <c r="BJN72" s="90"/>
    </row>
    <row r="73" spans="1:1626" ht="20.100000000000001" customHeight="1" x14ac:dyDescent="0.25">
      <c r="A73" s="100" t="s">
        <v>18</v>
      </c>
      <c r="B73" s="63"/>
      <c r="C73" s="207"/>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32"/>
      <c r="BHG73" s="64"/>
      <c r="BHH73" s="64"/>
      <c r="BHI73" s="64"/>
      <c r="BHJ73" s="33"/>
      <c r="BHK73" s="132"/>
      <c r="BHL73" s="33"/>
      <c r="BHM73" s="33"/>
      <c r="BHN73" s="33"/>
      <c r="BHO73" s="33"/>
      <c r="BHP73" s="33"/>
      <c r="BHQ73" s="137"/>
      <c r="BHR73" s="33"/>
      <c r="BHS73" s="33"/>
      <c r="BHT73" s="33"/>
      <c r="BHU73" s="33"/>
      <c r="BHV73" s="33"/>
      <c r="BHW73" s="74"/>
      <c r="BHX73" s="33"/>
      <c r="BHY73" s="33"/>
      <c r="BHZ73" s="33"/>
      <c r="BIA73" s="33"/>
      <c r="BIB73" s="33"/>
      <c r="BIC73" s="137"/>
      <c r="BID73" s="33"/>
      <c r="BIE73" s="33"/>
      <c r="BIF73" s="33"/>
      <c r="BIG73" s="33"/>
      <c r="BIH73" s="33"/>
      <c r="BII73" s="74"/>
      <c r="BIJ73" s="64"/>
      <c r="BIK73" s="64"/>
      <c r="BIL73" s="64"/>
      <c r="BIM73" s="64"/>
      <c r="BIN73" s="33"/>
      <c r="BIO73" s="137"/>
      <c r="BIP73" s="33"/>
      <c r="BIQ73" s="33"/>
      <c r="BIR73" s="33"/>
      <c r="BIS73" s="33"/>
      <c r="BIT73" s="33"/>
      <c r="BIU73" s="74"/>
      <c r="BIV73" s="33"/>
      <c r="BIW73" s="33"/>
      <c r="BIX73" s="33"/>
      <c r="BIY73" s="33"/>
      <c r="BIZ73" s="33"/>
      <c r="BJA73" s="137"/>
      <c r="BJB73" s="33"/>
      <c r="BJC73" s="33"/>
      <c r="BJD73" s="33"/>
      <c r="BJE73" s="33"/>
      <c r="BJF73" s="33"/>
      <c r="BJG73" s="74"/>
      <c r="BJH73" s="33"/>
      <c r="BJI73" s="33"/>
      <c r="BJJ73" s="33"/>
      <c r="BJK73" s="33"/>
      <c r="BJL73" s="33"/>
      <c r="BJM73" s="34"/>
      <c r="BJN73" s="90"/>
    </row>
    <row r="74" spans="1:1626" ht="20.100000000000001" customHeight="1" x14ac:dyDescent="0.3">
      <c r="A74" s="100" t="s">
        <v>19</v>
      </c>
      <c r="B74" s="63"/>
      <c r="C74" s="208"/>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36"/>
      <c r="BHG74" s="65"/>
      <c r="BHH74" s="65"/>
      <c r="BHI74" s="65"/>
      <c r="BHJ74" s="37"/>
      <c r="BHK74" s="133"/>
      <c r="BHL74" s="37"/>
      <c r="BHM74" s="37"/>
      <c r="BHN74" s="37"/>
      <c r="BHO74" s="37"/>
      <c r="BHP74" s="37"/>
      <c r="BHQ74" s="138"/>
      <c r="BHR74" s="37"/>
      <c r="BHS74" s="37"/>
      <c r="BHT74" s="37"/>
      <c r="BHU74" s="37"/>
      <c r="BHV74" s="37"/>
      <c r="BHW74" s="75"/>
      <c r="BHX74" s="37"/>
      <c r="BHY74" s="37"/>
      <c r="BHZ74" s="37"/>
      <c r="BIA74" s="37"/>
      <c r="BIB74" s="37"/>
      <c r="BIC74" s="138"/>
      <c r="BID74" s="37"/>
      <c r="BIE74" s="37"/>
      <c r="BIF74" s="37"/>
      <c r="BIG74" s="37"/>
      <c r="BIH74" s="37"/>
      <c r="BII74" s="75"/>
      <c r="BIJ74" s="65"/>
      <c r="BIK74" s="65"/>
      <c r="BIL74" s="65"/>
      <c r="BIM74" s="65"/>
      <c r="BIN74" s="37"/>
      <c r="BIO74" s="138"/>
      <c r="BIP74" s="37"/>
      <c r="BIQ74" s="37"/>
      <c r="BIR74" s="37"/>
      <c r="BIS74" s="37"/>
      <c r="BIT74" s="37"/>
      <c r="BIU74" s="75"/>
      <c r="BIV74" s="37"/>
      <c r="BIW74" s="37"/>
      <c r="BIX74" s="37"/>
      <c r="BIY74" s="37"/>
      <c r="BIZ74" s="37"/>
      <c r="BJA74" s="138"/>
      <c r="BJB74" s="37"/>
      <c r="BJC74" s="37"/>
      <c r="BJD74" s="37"/>
      <c r="BJE74" s="37"/>
      <c r="BJF74" s="37"/>
      <c r="BJG74" s="75"/>
      <c r="BJH74" s="37"/>
      <c r="BJI74" s="37"/>
      <c r="BJJ74" s="37"/>
      <c r="BJK74" s="37"/>
      <c r="BJL74" s="37"/>
      <c r="BJM74" s="38"/>
      <c r="BJN74" s="90"/>
    </row>
    <row r="75" spans="1:1626" ht="20.100000000000001" customHeight="1" x14ac:dyDescent="0.25">
      <c r="A75" s="100" t="s">
        <v>18</v>
      </c>
      <c r="B75" s="63"/>
      <c r="C75" s="207"/>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32"/>
      <c r="BHG75" s="64"/>
      <c r="BHH75" s="64"/>
      <c r="BHI75" s="64"/>
      <c r="BHJ75" s="33"/>
      <c r="BHK75" s="132"/>
      <c r="BHL75" s="33"/>
      <c r="BHM75" s="33"/>
      <c r="BHN75" s="33"/>
      <c r="BHO75" s="33"/>
      <c r="BHP75" s="33"/>
      <c r="BHQ75" s="137"/>
      <c r="BHR75" s="33"/>
      <c r="BHS75" s="33"/>
      <c r="BHT75" s="33"/>
      <c r="BHU75" s="33"/>
      <c r="BHV75" s="33"/>
      <c r="BHW75" s="74"/>
      <c r="BHX75" s="33"/>
      <c r="BHY75" s="33"/>
      <c r="BHZ75" s="33"/>
      <c r="BIA75" s="33"/>
      <c r="BIB75" s="33"/>
      <c r="BIC75" s="137"/>
      <c r="BID75" s="33"/>
      <c r="BIE75" s="33"/>
      <c r="BIF75" s="33"/>
      <c r="BIG75" s="33"/>
      <c r="BIH75" s="33"/>
      <c r="BII75" s="74"/>
      <c r="BIJ75" s="64"/>
      <c r="BIK75" s="64"/>
      <c r="BIL75" s="64"/>
      <c r="BIM75" s="64"/>
      <c r="BIN75" s="33"/>
      <c r="BIO75" s="137"/>
      <c r="BIP75" s="33"/>
      <c r="BIQ75" s="33"/>
      <c r="BIR75" s="33"/>
      <c r="BIS75" s="33"/>
      <c r="BIT75" s="33"/>
      <c r="BIU75" s="74"/>
      <c r="BIV75" s="33"/>
      <c r="BIW75" s="33"/>
      <c r="BIX75" s="33"/>
      <c r="BIY75" s="33"/>
      <c r="BIZ75" s="33"/>
      <c r="BJA75" s="137"/>
      <c r="BJB75" s="33"/>
      <c r="BJC75" s="33"/>
      <c r="BJD75" s="33"/>
      <c r="BJE75" s="33"/>
      <c r="BJF75" s="33"/>
      <c r="BJG75" s="74"/>
      <c r="BJH75" s="33"/>
      <c r="BJI75" s="33"/>
      <c r="BJJ75" s="33"/>
      <c r="BJK75" s="33"/>
      <c r="BJL75" s="33"/>
      <c r="BJM75" s="34"/>
      <c r="BJN75" s="90"/>
    </row>
    <row r="76" spans="1:1626" ht="20.100000000000001" customHeight="1" x14ac:dyDescent="0.3">
      <c r="A76" s="100" t="s">
        <v>19</v>
      </c>
      <c r="B76" s="63"/>
      <c r="C76" s="208"/>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36"/>
      <c r="BHG76" s="65"/>
      <c r="BHH76" s="65"/>
      <c r="BHI76" s="65"/>
      <c r="BHJ76" s="37"/>
      <c r="BHK76" s="133"/>
      <c r="BHL76" s="37"/>
      <c r="BHM76" s="37"/>
      <c r="BHN76" s="37"/>
      <c r="BHO76" s="37"/>
      <c r="BHP76" s="37"/>
      <c r="BHQ76" s="138"/>
      <c r="BHR76" s="37"/>
      <c r="BHS76" s="37"/>
      <c r="BHT76" s="37"/>
      <c r="BHU76" s="37"/>
      <c r="BHV76" s="37"/>
      <c r="BHW76" s="75"/>
      <c r="BHX76" s="37"/>
      <c r="BHY76" s="37"/>
      <c r="BHZ76" s="37"/>
      <c r="BIA76" s="37"/>
      <c r="BIB76" s="37"/>
      <c r="BIC76" s="138"/>
      <c r="BID76" s="37"/>
      <c r="BIE76" s="37"/>
      <c r="BIF76" s="37"/>
      <c r="BIG76" s="37"/>
      <c r="BIH76" s="37"/>
      <c r="BII76" s="75"/>
      <c r="BIJ76" s="65"/>
      <c r="BIK76" s="65"/>
      <c r="BIL76" s="65"/>
      <c r="BIM76" s="65"/>
      <c r="BIN76" s="37"/>
      <c r="BIO76" s="138"/>
      <c r="BIP76" s="37"/>
      <c r="BIQ76" s="37"/>
      <c r="BIR76" s="37"/>
      <c r="BIS76" s="37"/>
      <c r="BIT76" s="37"/>
      <c r="BIU76" s="75"/>
      <c r="BIV76" s="37"/>
      <c r="BIW76" s="37"/>
      <c r="BIX76" s="37"/>
      <c r="BIY76" s="37"/>
      <c r="BIZ76" s="37"/>
      <c r="BJA76" s="138"/>
      <c r="BJB76" s="37"/>
      <c r="BJC76" s="37"/>
      <c r="BJD76" s="37"/>
      <c r="BJE76" s="37"/>
      <c r="BJF76" s="37"/>
      <c r="BJG76" s="75"/>
      <c r="BJH76" s="37"/>
      <c r="BJI76" s="37"/>
      <c r="BJJ76" s="37"/>
      <c r="BJK76" s="37"/>
      <c r="BJL76" s="37"/>
      <c r="BJM76" s="38"/>
      <c r="BJN76" s="90"/>
    </row>
    <row r="77" spans="1:1626" ht="20.100000000000001" customHeight="1" x14ac:dyDescent="0.25">
      <c r="A77" s="100" t="s">
        <v>18</v>
      </c>
      <c r="B77" s="63"/>
      <c r="C77" s="207"/>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40"/>
      <c r="BHG77" s="66"/>
      <c r="BHH77" s="66"/>
      <c r="BHI77" s="66"/>
      <c r="BHJ77" s="41"/>
      <c r="BHK77" s="134"/>
      <c r="BHL77" s="41"/>
      <c r="BHM77" s="41"/>
      <c r="BHN77" s="41"/>
      <c r="BHO77" s="41"/>
      <c r="BHP77" s="41"/>
      <c r="BHQ77" s="139"/>
      <c r="BHR77" s="41"/>
      <c r="BHS77" s="41"/>
      <c r="BHT77" s="41"/>
      <c r="BHU77" s="41"/>
      <c r="BHV77" s="41"/>
      <c r="BHW77" s="76"/>
      <c r="BHX77" s="41"/>
      <c r="BHY77" s="41"/>
      <c r="BHZ77" s="41"/>
      <c r="BIA77" s="41"/>
      <c r="BIB77" s="41"/>
      <c r="BIC77" s="139"/>
      <c r="BID77" s="41"/>
      <c r="BIE77" s="41"/>
      <c r="BIF77" s="41"/>
      <c r="BIG77" s="41"/>
      <c r="BIH77" s="41"/>
      <c r="BII77" s="76"/>
      <c r="BIJ77" s="66"/>
      <c r="BIK77" s="66"/>
      <c r="BIL77" s="66"/>
      <c r="BIM77" s="66"/>
      <c r="BIN77" s="41"/>
      <c r="BIO77" s="139"/>
      <c r="BIP77" s="41"/>
      <c r="BIQ77" s="41"/>
      <c r="BIR77" s="41"/>
      <c r="BIS77" s="41"/>
      <c r="BIT77" s="41"/>
      <c r="BIU77" s="76"/>
      <c r="BIV77" s="41"/>
      <c r="BIW77" s="41"/>
      <c r="BIX77" s="41"/>
      <c r="BIY77" s="41"/>
      <c r="BIZ77" s="41"/>
      <c r="BJA77" s="139"/>
      <c r="BJB77" s="41"/>
      <c r="BJC77" s="41"/>
      <c r="BJD77" s="41"/>
      <c r="BJE77" s="41"/>
      <c r="BJF77" s="41"/>
      <c r="BJG77" s="76"/>
      <c r="BJH77" s="41"/>
      <c r="BJI77" s="41"/>
      <c r="BJJ77" s="41"/>
      <c r="BJK77" s="41"/>
      <c r="BJL77" s="41"/>
      <c r="BJM77" s="42"/>
      <c r="BJN77" s="90"/>
    </row>
    <row r="78" spans="1:1626" ht="20.100000000000001" customHeight="1" x14ac:dyDescent="0.25">
      <c r="A78" s="100" t="s">
        <v>19</v>
      </c>
      <c r="B78" s="63"/>
      <c r="C78" s="209"/>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28"/>
      <c r="BHG78" s="67"/>
      <c r="BHH78" s="67"/>
      <c r="BHI78" s="67"/>
      <c r="BHJ78" s="29"/>
      <c r="BHK78" s="133"/>
      <c r="BHL78" s="29"/>
      <c r="BHM78" s="29"/>
      <c r="BHN78" s="29"/>
      <c r="BHO78" s="29"/>
      <c r="BHP78" s="29"/>
      <c r="BHQ78" s="138"/>
      <c r="BHR78" s="29"/>
      <c r="BHS78" s="29"/>
      <c r="BHT78" s="29"/>
      <c r="BHU78" s="29"/>
      <c r="BHV78" s="29"/>
      <c r="BHW78" s="75"/>
      <c r="BHX78" s="29"/>
      <c r="BHY78" s="29"/>
      <c r="BHZ78" s="29"/>
      <c r="BIA78" s="29"/>
      <c r="BIB78" s="29"/>
      <c r="BIC78" s="138"/>
      <c r="BID78" s="29"/>
      <c r="BIE78" s="29"/>
      <c r="BIF78" s="29"/>
      <c r="BIG78" s="29"/>
      <c r="BIH78" s="29"/>
      <c r="BII78" s="75"/>
      <c r="BIJ78" s="67"/>
      <c r="BIK78" s="67"/>
      <c r="BIL78" s="67"/>
      <c r="BIM78" s="67"/>
      <c r="BIN78" s="29"/>
      <c r="BIO78" s="138"/>
      <c r="BIP78" s="29"/>
      <c r="BIQ78" s="29"/>
      <c r="BIR78" s="29"/>
      <c r="BIS78" s="29"/>
      <c r="BIT78" s="29"/>
      <c r="BIU78" s="75"/>
      <c r="BIV78" s="29"/>
      <c r="BIW78" s="29"/>
      <c r="BIX78" s="29"/>
      <c r="BIY78" s="29"/>
      <c r="BIZ78" s="29"/>
      <c r="BJA78" s="138"/>
      <c r="BJB78" s="29"/>
      <c r="BJC78" s="29"/>
      <c r="BJD78" s="29"/>
      <c r="BJE78" s="29"/>
      <c r="BJF78" s="29"/>
      <c r="BJG78" s="75"/>
      <c r="BJH78" s="29"/>
      <c r="BJI78" s="29"/>
      <c r="BJJ78" s="29"/>
      <c r="BJK78" s="29"/>
      <c r="BJL78" s="29"/>
      <c r="BJM78" s="30"/>
      <c r="BJN78" s="90"/>
    </row>
    <row r="79" spans="1:1626" ht="20.100000000000001" customHeight="1" x14ac:dyDescent="0.25">
      <c r="A79" s="100" t="s">
        <v>18</v>
      </c>
      <c r="B79" s="63"/>
      <c r="C79" s="207"/>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32"/>
      <c r="BHG79" s="64"/>
      <c r="BHH79" s="64"/>
      <c r="BHI79" s="64"/>
      <c r="BHJ79" s="33"/>
      <c r="BHK79" s="132"/>
      <c r="BHL79" s="33"/>
      <c r="BHM79" s="33"/>
      <c r="BHN79" s="33"/>
      <c r="BHO79" s="33"/>
      <c r="BHP79" s="33"/>
      <c r="BHQ79" s="137"/>
      <c r="BHR79" s="33"/>
      <c r="BHS79" s="33"/>
      <c r="BHT79" s="33"/>
      <c r="BHU79" s="33"/>
      <c r="BHV79" s="33"/>
      <c r="BHW79" s="74"/>
      <c r="BHX79" s="33"/>
      <c r="BHY79" s="33"/>
      <c r="BHZ79" s="33"/>
      <c r="BIA79" s="33"/>
      <c r="BIB79" s="33"/>
      <c r="BIC79" s="137"/>
      <c r="BID79" s="33"/>
      <c r="BIE79" s="33"/>
      <c r="BIF79" s="33"/>
      <c r="BIG79" s="33"/>
      <c r="BIH79" s="33"/>
      <c r="BII79" s="74"/>
      <c r="BIJ79" s="64"/>
      <c r="BIK79" s="64"/>
      <c r="BIL79" s="64"/>
      <c r="BIM79" s="64"/>
      <c r="BIN79" s="33"/>
      <c r="BIO79" s="137"/>
      <c r="BIP79" s="33"/>
      <c r="BIQ79" s="33"/>
      <c r="BIR79" s="33"/>
      <c r="BIS79" s="33"/>
      <c r="BIT79" s="33"/>
      <c r="BIU79" s="74"/>
      <c r="BIV79" s="33"/>
      <c r="BIW79" s="33"/>
      <c r="BIX79" s="33"/>
      <c r="BIY79" s="33"/>
      <c r="BIZ79" s="33"/>
      <c r="BJA79" s="137"/>
      <c r="BJB79" s="33"/>
      <c r="BJC79" s="33"/>
      <c r="BJD79" s="33"/>
      <c r="BJE79" s="33"/>
      <c r="BJF79" s="33"/>
      <c r="BJG79" s="74"/>
      <c r="BJH79" s="33"/>
      <c r="BJI79" s="33"/>
      <c r="BJJ79" s="33"/>
      <c r="BJK79" s="33"/>
      <c r="BJL79" s="33"/>
      <c r="BJM79" s="34"/>
      <c r="BJN79" s="90"/>
    </row>
    <row r="80" spans="1:1626" ht="20.100000000000001" customHeight="1" x14ac:dyDescent="0.3">
      <c r="A80" s="100" t="s">
        <v>19</v>
      </c>
      <c r="B80" s="63"/>
      <c r="C80" s="208"/>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36"/>
      <c r="BHG80" s="65"/>
      <c r="BHH80" s="65"/>
      <c r="BHI80" s="65"/>
      <c r="BHJ80" s="37"/>
      <c r="BHK80" s="133"/>
      <c r="BHL80" s="37"/>
      <c r="BHM80" s="37"/>
      <c r="BHN80" s="37"/>
      <c r="BHO80" s="37"/>
      <c r="BHP80" s="37"/>
      <c r="BHQ80" s="138"/>
      <c r="BHR80" s="37"/>
      <c r="BHS80" s="37"/>
      <c r="BHT80" s="37"/>
      <c r="BHU80" s="37"/>
      <c r="BHV80" s="37"/>
      <c r="BHW80" s="75"/>
      <c r="BHX80" s="37"/>
      <c r="BHY80" s="37"/>
      <c r="BHZ80" s="37"/>
      <c r="BIA80" s="37"/>
      <c r="BIB80" s="37"/>
      <c r="BIC80" s="138"/>
      <c r="BID80" s="37"/>
      <c r="BIE80" s="37"/>
      <c r="BIF80" s="37"/>
      <c r="BIG80" s="37"/>
      <c r="BIH80" s="37"/>
      <c r="BII80" s="75"/>
      <c r="BIJ80" s="65"/>
      <c r="BIK80" s="65"/>
      <c r="BIL80" s="65"/>
      <c r="BIM80" s="65"/>
      <c r="BIN80" s="37"/>
      <c r="BIO80" s="138"/>
      <c r="BIP80" s="37"/>
      <c r="BIQ80" s="37"/>
      <c r="BIR80" s="37"/>
      <c r="BIS80" s="37"/>
      <c r="BIT80" s="37"/>
      <c r="BIU80" s="75"/>
      <c r="BIV80" s="37"/>
      <c r="BIW80" s="37"/>
      <c r="BIX80" s="37"/>
      <c r="BIY80" s="37"/>
      <c r="BIZ80" s="37"/>
      <c r="BJA80" s="138"/>
      <c r="BJB80" s="37"/>
      <c r="BJC80" s="37"/>
      <c r="BJD80" s="37"/>
      <c r="BJE80" s="37"/>
      <c r="BJF80" s="37"/>
      <c r="BJG80" s="75"/>
      <c r="BJH80" s="37"/>
      <c r="BJI80" s="37"/>
      <c r="BJJ80" s="37"/>
      <c r="BJK80" s="37"/>
      <c r="BJL80" s="37"/>
      <c r="BJM80" s="38"/>
      <c r="BJN80" s="90"/>
    </row>
    <row r="81" spans="1:1626" ht="20.100000000000001" customHeight="1" x14ac:dyDescent="0.25">
      <c r="A81" s="100" t="s">
        <v>18</v>
      </c>
      <c r="B81" s="63"/>
      <c r="C81" s="207"/>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40"/>
      <c r="BHG81" s="66"/>
      <c r="BHH81" s="66"/>
      <c r="BHI81" s="66"/>
      <c r="BHJ81" s="41"/>
      <c r="BHK81" s="134"/>
      <c r="BHL81" s="41"/>
      <c r="BHM81" s="41"/>
      <c r="BHN81" s="41"/>
      <c r="BHO81" s="41"/>
      <c r="BHP81" s="41"/>
      <c r="BHQ81" s="139"/>
      <c r="BHR81" s="41"/>
      <c r="BHS81" s="41"/>
      <c r="BHT81" s="41"/>
      <c r="BHU81" s="41"/>
      <c r="BHV81" s="41"/>
      <c r="BHW81" s="76"/>
      <c r="BHX81" s="41"/>
      <c r="BHY81" s="41"/>
      <c r="BHZ81" s="41"/>
      <c r="BIA81" s="41"/>
      <c r="BIB81" s="41"/>
      <c r="BIC81" s="139"/>
      <c r="BID81" s="41"/>
      <c r="BIE81" s="41"/>
      <c r="BIF81" s="41"/>
      <c r="BIG81" s="41"/>
      <c r="BIH81" s="41"/>
      <c r="BII81" s="76"/>
      <c r="BIJ81" s="66"/>
      <c r="BIK81" s="66"/>
      <c r="BIL81" s="66"/>
      <c r="BIM81" s="66"/>
      <c r="BIN81" s="41"/>
      <c r="BIO81" s="139"/>
      <c r="BIP81" s="41"/>
      <c r="BIQ81" s="41"/>
      <c r="BIR81" s="41"/>
      <c r="BIS81" s="41"/>
      <c r="BIT81" s="41"/>
      <c r="BIU81" s="76"/>
      <c r="BIV81" s="41"/>
      <c r="BIW81" s="41"/>
      <c r="BIX81" s="41"/>
      <c r="BIY81" s="41"/>
      <c r="BIZ81" s="41"/>
      <c r="BJA81" s="139"/>
      <c r="BJB81" s="41"/>
      <c r="BJC81" s="41"/>
      <c r="BJD81" s="41"/>
      <c r="BJE81" s="41"/>
      <c r="BJF81" s="41"/>
      <c r="BJG81" s="76"/>
      <c r="BJH81" s="41"/>
      <c r="BJI81" s="41"/>
      <c r="BJJ81" s="41"/>
      <c r="BJK81" s="41"/>
      <c r="BJL81" s="41"/>
      <c r="BJM81" s="42"/>
      <c r="BJN81" s="90"/>
    </row>
    <row r="82" spans="1:1626" ht="20.100000000000001" customHeight="1" x14ac:dyDescent="0.3">
      <c r="A82" s="100" t="s">
        <v>19</v>
      </c>
      <c r="B82" s="63"/>
      <c r="C82" s="208"/>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28"/>
      <c r="BHG82" s="67"/>
      <c r="BHH82" s="67"/>
      <c r="BHI82" s="67"/>
      <c r="BHJ82" s="29"/>
      <c r="BHK82" s="131"/>
      <c r="BHL82" s="29"/>
      <c r="BHM82" s="29"/>
      <c r="BHN82" s="29"/>
      <c r="BHO82" s="29"/>
      <c r="BHP82" s="29"/>
      <c r="BHQ82" s="136"/>
      <c r="BHR82" s="29"/>
      <c r="BHS82" s="29"/>
      <c r="BHT82" s="29"/>
      <c r="BHU82" s="29"/>
      <c r="BHV82" s="29"/>
      <c r="BHW82" s="73"/>
      <c r="BHX82" s="29"/>
      <c r="BHY82" s="29"/>
      <c r="BHZ82" s="29"/>
      <c r="BIA82" s="29"/>
      <c r="BIB82" s="29"/>
      <c r="BIC82" s="136"/>
      <c r="BID82" s="29"/>
      <c r="BIE82" s="29"/>
      <c r="BIF82" s="29"/>
      <c r="BIG82" s="29"/>
      <c r="BIH82" s="29"/>
      <c r="BII82" s="73"/>
      <c r="BIJ82" s="67"/>
      <c r="BIK82" s="67"/>
      <c r="BIL82" s="67"/>
      <c r="BIM82" s="67"/>
      <c r="BIN82" s="29"/>
      <c r="BIO82" s="136"/>
      <c r="BIP82" s="29"/>
      <c r="BIQ82" s="29"/>
      <c r="BIR82" s="29"/>
      <c r="BIS82" s="29"/>
      <c r="BIT82" s="29"/>
      <c r="BIU82" s="73"/>
      <c r="BIV82" s="29"/>
      <c r="BIW82" s="29"/>
      <c r="BIX82" s="29"/>
      <c r="BIY82" s="29"/>
      <c r="BIZ82" s="29"/>
      <c r="BJA82" s="136"/>
      <c r="BJB82" s="29"/>
      <c r="BJC82" s="29"/>
      <c r="BJD82" s="29"/>
      <c r="BJE82" s="29"/>
      <c r="BJF82" s="29"/>
      <c r="BJG82" s="73"/>
      <c r="BJH82" s="29"/>
      <c r="BJI82" s="29"/>
      <c r="BJJ82" s="29"/>
      <c r="BJK82" s="29"/>
      <c r="BJL82" s="29"/>
      <c r="BJM82" s="30"/>
      <c r="BJN82" s="90"/>
    </row>
    <row r="83" spans="1:1626" ht="20.100000000000001" customHeight="1" x14ac:dyDescent="0.25">
      <c r="A83" s="100" t="s">
        <v>18</v>
      </c>
      <c r="B83" s="63"/>
      <c r="C83" s="207"/>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32"/>
      <c r="BHG83" s="64"/>
      <c r="BHH83" s="64"/>
      <c r="BHI83" s="64"/>
      <c r="BHJ83" s="33"/>
      <c r="BHK83" s="132"/>
      <c r="BHL83" s="33"/>
      <c r="BHM83" s="33"/>
      <c r="BHN83" s="33"/>
      <c r="BHO83" s="33"/>
      <c r="BHP83" s="33"/>
      <c r="BHQ83" s="137"/>
      <c r="BHR83" s="33"/>
      <c r="BHS83" s="33"/>
      <c r="BHT83" s="33"/>
      <c r="BHU83" s="33"/>
      <c r="BHV83" s="33"/>
      <c r="BHW83" s="74"/>
      <c r="BHX83" s="33"/>
      <c r="BHY83" s="33"/>
      <c r="BHZ83" s="33"/>
      <c r="BIA83" s="33"/>
      <c r="BIB83" s="33"/>
      <c r="BIC83" s="137"/>
      <c r="BID83" s="33"/>
      <c r="BIE83" s="33"/>
      <c r="BIF83" s="33"/>
      <c r="BIG83" s="33"/>
      <c r="BIH83" s="33"/>
      <c r="BII83" s="74"/>
      <c r="BIJ83" s="64"/>
      <c r="BIK83" s="64"/>
      <c r="BIL83" s="64"/>
      <c r="BIM83" s="64"/>
      <c r="BIN83" s="33"/>
      <c r="BIO83" s="137"/>
      <c r="BIP83" s="33"/>
      <c r="BIQ83" s="33"/>
      <c r="BIR83" s="33"/>
      <c r="BIS83" s="33"/>
      <c r="BIT83" s="33"/>
      <c r="BIU83" s="74"/>
      <c r="BIV83" s="33"/>
      <c r="BIW83" s="33"/>
      <c r="BIX83" s="33"/>
      <c r="BIY83" s="33"/>
      <c r="BIZ83" s="33"/>
      <c r="BJA83" s="137"/>
      <c r="BJB83" s="33"/>
      <c r="BJC83" s="33"/>
      <c r="BJD83" s="33"/>
      <c r="BJE83" s="33"/>
      <c r="BJF83" s="33"/>
      <c r="BJG83" s="74"/>
      <c r="BJH83" s="33"/>
      <c r="BJI83" s="33"/>
      <c r="BJJ83" s="33"/>
      <c r="BJK83" s="33"/>
      <c r="BJL83" s="33"/>
      <c r="BJM83" s="34"/>
      <c r="BJN83" s="90"/>
    </row>
    <row r="84" spans="1:1626" ht="20.100000000000001" customHeight="1" x14ac:dyDescent="0.25">
      <c r="A84" s="100" t="s">
        <v>19</v>
      </c>
      <c r="B84" s="63"/>
      <c r="C84" s="209"/>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36"/>
      <c r="BHG84" s="65"/>
      <c r="BHH84" s="65"/>
      <c r="BHI84" s="65"/>
      <c r="BHJ84" s="37"/>
      <c r="BHK84" s="133"/>
      <c r="BHL84" s="37"/>
      <c r="BHM84" s="37"/>
      <c r="BHN84" s="37"/>
      <c r="BHO84" s="37"/>
      <c r="BHP84" s="37"/>
      <c r="BHQ84" s="138"/>
      <c r="BHR84" s="37"/>
      <c r="BHS84" s="37"/>
      <c r="BHT84" s="37"/>
      <c r="BHU84" s="37"/>
      <c r="BHV84" s="37"/>
      <c r="BHW84" s="75"/>
      <c r="BHX84" s="37"/>
      <c r="BHY84" s="37"/>
      <c r="BHZ84" s="37"/>
      <c r="BIA84" s="37"/>
      <c r="BIB84" s="37"/>
      <c r="BIC84" s="138"/>
      <c r="BID84" s="37"/>
      <c r="BIE84" s="37"/>
      <c r="BIF84" s="37"/>
      <c r="BIG84" s="37"/>
      <c r="BIH84" s="37"/>
      <c r="BII84" s="75"/>
      <c r="BIJ84" s="65"/>
      <c r="BIK84" s="65"/>
      <c r="BIL84" s="65"/>
      <c r="BIM84" s="65"/>
      <c r="BIN84" s="37"/>
      <c r="BIO84" s="138"/>
      <c r="BIP84" s="37"/>
      <c r="BIQ84" s="37"/>
      <c r="BIR84" s="37"/>
      <c r="BIS84" s="37"/>
      <c r="BIT84" s="37"/>
      <c r="BIU84" s="75"/>
      <c r="BIV84" s="37"/>
      <c r="BIW84" s="37"/>
      <c r="BIX84" s="37"/>
      <c r="BIY84" s="37"/>
      <c r="BIZ84" s="37"/>
      <c r="BJA84" s="138"/>
      <c r="BJB84" s="37"/>
      <c r="BJC84" s="37"/>
      <c r="BJD84" s="37"/>
      <c r="BJE84" s="37"/>
      <c r="BJF84" s="37"/>
      <c r="BJG84" s="75"/>
      <c r="BJH84" s="37"/>
      <c r="BJI84" s="37"/>
      <c r="BJJ84" s="37"/>
      <c r="BJK84" s="37"/>
      <c r="BJL84" s="37"/>
      <c r="BJM84" s="38"/>
      <c r="BJN84" s="90"/>
    </row>
    <row r="85" spans="1:1626" ht="20.100000000000001" customHeight="1" x14ac:dyDescent="0.25">
      <c r="A85" s="100" t="s">
        <v>18</v>
      </c>
      <c r="B85" s="63"/>
      <c r="C85" s="207"/>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40"/>
      <c r="BHG85" s="66"/>
      <c r="BHH85" s="66"/>
      <c r="BHI85" s="66"/>
      <c r="BHJ85" s="41"/>
      <c r="BHK85" s="134"/>
      <c r="BHL85" s="41"/>
      <c r="BHM85" s="41"/>
      <c r="BHN85" s="41"/>
      <c r="BHO85" s="41"/>
      <c r="BHP85" s="41"/>
      <c r="BHQ85" s="139"/>
      <c r="BHR85" s="41"/>
      <c r="BHS85" s="41"/>
      <c r="BHT85" s="41"/>
      <c r="BHU85" s="41"/>
      <c r="BHV85" s="41"/>
      <c r="BHW85" s="76"/>
      <c r="BHX85" s="41"/>
      <c r="BHY85" s="41"/>
      <c r="BHZ85" s="41"/>
      <c r="BIA85" s="41"/>
      <c r="BIB85" s="41"/>
      <c r="BIC85" s="139"/>
      <c r="BID85" s="41"/>
      <c r="BIE85" s="41"/>
      <c r="BIF85" s="41"/>
      <c r="BIG85" s="41"/>
      <c r="BIH85" s="41"/>
      <c r="BII85" s="76"/>
      <c r="BIJ85" s="66"/>
      <c r="BIK85" s="66"/>
      <c r="BIL85" s="66"/>
      <c r="BIM85" s="66"/>
      <c r="BIN85" s="41"/>
      <c r="BIO85" s="139"/>
      <c r="BIP85" s="41"/>
      <c r="BIQ85" s="41"/>
      <c r="BIR85" s="41"/>
      <c r="BIS85" s="41"/>
      <c r="BIT85" s="41"/>
      <c r="BIU85" s="76"/>
      <c r="BIV85" s="41"/>
      <c r="BIW85" s="41"/>
      <c r="BIX85" s="41"/>
      <c r="BIY85" s="41"/>
      <c r="BIZ85" s="41"/>
      <c r="BJA85" s="139"/>
      <c r="BJB85" s="41"/>
      <c r="BJC85" s="41"/>
      <c r="BJD85" s="41"/>
      <c r="BJE85" s="41"/>
      <c r="BJF85" s="41"/>
      <c r="BJG85" s="76"/>
      <c r="BJH85" s="41"/>
      <c r="BJI85" s="41"/>
      <c r="BJJ85" s="41"/>
      <c r="BJK85" s="41"/>
      <c r="BJL85" s="41"/>
      <c r="BJM85" s="42"/>
      <c r="BJN85" s="90"/>
    </row>
    <row r="86" spans="1:1626" ht="20.100000000000001" customHeight="1" x14ac:dyDescent="0.3">
      <c r="A86" s="100" t="s">
        <v>19</v>
      </c>
      <c r="B86" s="63"/>
      <c r="C86" s="208"/>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28"/>
      <c r="BHG86" s="67"/>
      <c r="BHH86" s="67"/>
      <c r="BHI86" s="67"/>
      <c r="BHJ86" s="29"/>
      <c r="BHK86" s="131"/>
      <c r="BHL86" s="29"/>
      <c r="BHM86" s="29"/>
      <c r="BHN86" s="29"/>
      <c r="BHO86" s="29"/>
      <c r="BHP86" s="29"/>
      <c r="BHQ86" s="136"/>
      <c r="BHR86" s="29"/>
      <c r="BHS86" s="29"/>
      <c r="BHT86" s="29"/>
      <c r="BHU86" s="29"/>
      <c r="BHV86" s="29"/>
      <c r="BHW86" s="73"/>
      <c r="BHX86" s="29"/>
      <c r="BHY86" s="29"/>
      <c r="BHZ86" s="29"/>
      <c r="BIA86" s="29"/>
      <c r="BIB86" s="29"/>
      <c r="BIC86" s="136"/>
      <c r="BID86" s="29"/>
      <c r="BIE86" s="29"/>
      <c r="BIF86" s="29"/>
      <c r="BIG86" s="29"/>
      <c r="BIH86" s="29"/>
      <c r="BII86" s="73"/>
      <c r="BIJ86" s="67"/>
      <c r="BIK86" s="67"/>
      <c r="BIL86" s="67"/>
      <c r="BIM86" s="67"/>
      <c r="BIN86" s="29"/>
      <c r="BIO86" s="136"/>
      <c r="BIP86" s="29"/>
      <c r="BIQ86" s="29"/>
      <c r="BIR86" s="29"/>
      <c r="BIS86" s="29"/>
      <c r="BIT86" s="29"/>
      <c r="BIU86" s="73"/>
      <c r="BIV86" s="29"/>
      <c r="BIW86" s="29"/>
      <c r="BIX86" s="29"/>
      <c r="BIY86" s="29"/>
      <c r="BIZ86" s="29"/>
      <c r="BJA86" s="136"/>
      <c r="BJB86" s="29"/>
      <c r="BJC86" s="29"/>
      <c r="BJD86" s="29"/>
      <c r="BJE86" s="29"/>
      <c r="BJF86" s="29"/>
      <c r="BJG86" s="73"/>
      <c r="BJH86" s="29"/>
      <c r="BJI86" s="29"/>
      <c r="BJJ86" s="29"/>
      <c r="BJK86" s="29"/>
      <c r="BJL86" s="29"/>
      <c r="BJM86" s="30"/>
      <c r="BJN86" s="90"/>
    </row>
    <row r="87" spans="1:1626" ht="20.100000000000001" customHeight="1" x14ac:dyDescent="0.25">
      <c r="A87" s="100" t="s">
        <v>18</v>
      </c>
      <c r="B87" s="63"/>
      <c r="C87" s="207"/>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32"/>
      <c r="BHG87" s="64"/>
      <c r="BHH87" s="64"/>
      <c r="BHI87" s="64"/>
      <c r="BHJ87" s="33"/>
      <c r="BHK87" s="132"/>
      <c r="BHL87" s="33"/>
      <c r="BHM87" s="33"/>
      <c r="BHN87" s="33"/>
      <c r="BHO87" s="33"/>
      <c r="BHP87" s="33"/>
      <c r="BHQ87" s="137"/>
      <c r="BHR87" s="33"/>
      <c r="BHS87" s="33"/>
      <c r="BHT87" s="33"/>
      <c r="BHU87" s="33"/>
      <c r="BHV87" s="33"/>
      <c r="BHW87" s="74"/>
      <c r="BHX87" s="33"/>
      <c r="BHY87" s="33"/>
      <c r="BHZ87" s="33"/>
      <c r="BIA87" s="33"/>
      <c r="BIB87" s="33"/>
      <c r="BIC87" s="137"/>
      <c r="BID87" s="33"/>
      <c r="BIE87" s="33"/>
      <c r="BIF87" s="33"/>
      <c r="BIG87" s="33"/>
      <c r="BIH87" s="33"/>
      <c r="BII87" s="74"/>
      <c r="BIJ87" s="64"/>
      <c r="BIK87" s="64"/>
      <c r="BIL87" s="64"/>
      <c r="BIM87" s="64"/>
      <c r="BIN87" s="33"/>
      <c r="BIO87" s="137"/>
      <c r="BIP87" s="33"/>
      <c r="BIQ87" s="33"/>
      <c r="BIR87" s="33"/>
      <c r="BIS87" s="33"/>
      <c r="BIT87" s="33"/>
      <c r="BIU87" s="74"/>
      <c r="BIV87" s="33"/>
      <c r="BIW87" s="33"/>
      <c r="BIX87" s="33"/>
      <c r="BIY87" s="33"/>
      <c r="BIZ87" s="33"/>
      <c r="BJA87" s="137"/>
      <c r="BJB87" s="33"/>
      <c r="BJC87" s="33"/>
      <c r="BJD87" s="33"/>
      <c r="BJE87" s="33"/>
      <c r="BJF87" s="33"/>
      <c r="BJG87" s="74"/>
      <c r="BJH87" s="33"/>
      <c r="BJI87" s="33"/>
      <c r="BJJ87" s="33"/>
      <c r="BJK87" s="33"/>
      <c r="BJL87" s="33"/>
      <c r="BJM87" s="34"/>
      <c r="BJN87" s="90"/>
    </row>
    <row r="88" spans="1:1626" ht="20.100000000000001" customHeight="1" x14ac:dyDescent="0.25">
      <c r="A88" s="100" t="s">
        <v>19</v>
      </c>
      <c r="B88" s="63"/>
      <c r="C88" s="209"/>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36"/>
      <c r="BHG88" s="65"/>
      <c r="BHH88" s="65"/>
      <c r="BHI88" s="65"/>
      <c r="BHJ88" s="37"/>
      <c r="BHK88" s="133"/>
      <c r="BHL88" s="37"/>
      <c r="BHM88" s="37"/>
      <c r="BHN88" s="37"/>
      <c r="BHO88" s="37"/>
      <c r="BHP88" s="37"/>
      <c r="BHQ88" s="138"/>
      <c r="BHR88" s="37"/>
      <c r="BHS88" s="37"/>
      <c r="BHT88" s="37"/>
      <c r="BHU88" s="37"/>
      <c r="BHV88" s="37"/>
      <c r="BHW88" s="75"/>
      <c r="BHX88" s="37"/>
      <c r="BHY88" s="37"/>
      <c r="BHZ88" s="37"/>
      <c r="BIA88" s="37"/>
      <c r="BIB88" s="37"/>
      <c r="BIC88" s="138"/>
      <c r="BID88" s="37"/>
      <c r="BIE88" s="37"/>
      <c r="BIF88" s="37"/>
      <c r="BIG88" s="37"/>
      <c r="BIH88" s="37"/>
      <c r="BII88" s="75"/>
      <c r="BIJ88" s="65"/>
      <c r="BIK88" s="65"/>
      <c r="BIL88" s="65"/>
      <c r="BIM88" s="65"/>
      <c r="BIN88" s="37"/>
      <c r="BIO88" s="138"/>
      <c r="BIP88" s="37"/>
      <c r="BIQ88" s="37"/>
      <c r="BIR88" s="37"/>
      <c r="BIS88" s="37"/>
      <c r="BIT88" s="37"/>
      <c r="BIU88" s="75"/>
      <c r="BIV88" s="37"/>
      <c r="BIW88" s="37"/>
      <c r="BIX88" s="37"/>
      <c r="BIY88" s="37"/>
      <c r="BIZ88" s="37"/>
      <c r="BJA88" s="138"/>
      <c r="BJB88" s="37"/>
      <c r="BJC88" s="37"/>
      <c r="BJD88" s="37"/>
      <c r="BJE88" s="37"/>
      <c r="BJF88" s="37"/>
      <c r="BJG88" s="75"/>
      <c r="BJH88" s="37"/>
      <c r="BJI88" s="37"/>
      <c r="BJJ88" s="37"/>
      <c r="BJK88" s="37"/>
      <c r="BJL88" s="37"/>
      <c r="BJM88" s="38"/>
      <c r="BJN88" s="90"/>
    </row>
    <row r="89" spans="1:1626" ht="20.100000000000001" customHeight="1" x14ac:dyDescent="0.25">
      <c r="A89" s="100" t="s">
        <v>18</v>
      </c>
      <c r="B89" s="63"/>
      <c r="C89" s="207"/>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32"/>
      <c r="BHG89" s="64"/>
      <c r="BHH89" s="64"/>
      <c r="BHI89" s="64"/>
      <c r="BHJ89" s="33"/>
      <c r="BHK89" s="132"/>
      <c r="BHL89" s="33"/>
      <c r="BHM89" s="33"/>
      <c r="BHN89" s="33"/>
      <c r="BHO89" s="33"/>
      <c r="BHP89" s="33"/>
      <c r="BHQ89" s="137"/>
      <c r="BHR89" s="33"/>
      <c r="BHS89" s="33"/>
      <c r="BHT89" s="33"/>
      <c r="BHU89" s="33"/>
      <c r="BHV89" s="33"/>
      <c r="BHW89" s="74"/>
      <c r="BHX89" s="33"/>
      <c r="BHY89" s="33"/>
      <c r="BHZ89" s="33"/>
      <c r="BIA89" s="33"/>
      <c r="BIB89" s="33"/>
      <c r="BIC89" s="137"/>
      <c r="BID89" s="33"/>
      <c r="BIE89" s="33"/>
      <c r="BIF89" s="33"/>
      <c r="BIG89" s="33"/>
      <c r="BIH89" s="33"/>
      <c r="BII89" s="74"/>
      <c r="BIJ89" s="64"/>
      <c r="BIK89" s="64"/>
      <c r="BIL89" s="64"/>
      <c r="BIM89" s="64"/>
      <c r="BIN89" s="33"/>
      <c r="BIO89" s="137"/>
      <c r="BIP89" s="33"/>
      <c r="BIQ89" s="33"/>
      <c r="BIR89" s="33"/>
      <c r="BIS89" s="33"/>
      <c r="BIT89" s="33"/>
      <c r="BIU89" s="74"/>
      <c r="BIV89" s="33"/>
      <c r="BIW89" s="33"/>
      <c r="BIX89" s="33"/>
      <c r="BIY89" s="33"/>
      <c r="BIZ89" s="33"/>
      <c r="BJA89" s="137"/>
      <c r="BJB89" s="33"/>
      <c r="BJC89" s="33"/>
      <c r="BJD89" s="33"/>
      <c r="BJE89" s="33"/>
      <c r="BJF89" s="33"/>
      <c r="BJG89" s="74"/>
      <c r="BJH89" s="33"/>
      <c r="BJI89" s="33"/>
      <c r="BJJ89" s="33"/>
      <c r="BJK89" s="33"/>
      <c r="BJL89" s="33"/>
      <c r="BJM89" s="34"/>
      <c r="BJN89" s="90"/>
    </row>
    <row r="90" spans="1:1626" ht="20.100000000000001" customHeight="1" x14ac:dyDescent="0.3">
      <c r="A90" s="100" t="s">
        <v>19</v>
      </c>
      <c r="B90" s="63"/>
      <c r="C90" s="208"/>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36"/>
      <c r="BHG90" s="65"/>
      <c r="BHH90" s="65"/>
      <c r="BHI90" s="65"/>
      <c r="BHJ90" s="37"/>
      <c r="BHK90" s="133"/>
      <c r="BHL90" s="37"/>
      <c r="BHM90" s="37"/>
      <c r="BHN90" s="37"/>
      <c r="BHO90" s="37"/>
      <c r="BHP90" s="37"/>
      <c r="BHQ90" s="138"/>
      <c r="BHR90" s="37"/>
      <c r="BHS90" s="37"/>
      <c r="BHT90" s="37"/>
      <c r="BHU90" s="37"/>
      <c r="BHV90" s="37"/>
      <c r="BHW90" s="75"/>
      <c r="BHX90" s="37"/>
      <c r="BHY90" s="37"/>
      <c r="BHZ90" s="37"/>
      <c r="BIA90" s="37"/>
      <c r="BIB90" s="37"/>
      <c r="BIC90" s="138"/>
      <c r="BID90" s="37"/>
      <c r="BIE90" s="37"/>
      <c r="BIF90" s="37"/>
      <c r="BIG90" s="37"/>
      <c r="BIH90" s="37"/>
      <c r="BII90" s="75"/>
      <c r="BIJ90" s="65"/>
      <c r="BIK90" s="65"/>
      <c r="BIL90" s="65"/>
      <c r="BIM90" s="65"/>
      <c r="BIN90" s="37"/>
      <c r="BIO90" s="138"/>
      <c r="BIP90" s="37"/>
      <c r="BIQ90" s="37"/>
      <c r="BIR90" s="37"/>
      <c r="BIS90" s="37"/>
      <c r="BIT90" s="37"/>
      <c r="BIU90" s="75"/>
      <c r="BIV90" s="37"/>
      <c r="BIW90" s="37"/>
      <c r="BIX90" s="37"/>
      <c r="BIY90" s="37"/>
      <c r="BIZ90" s="37"/>
      <c r="BJA90" s="138"/>
      <c r="BJB90" s="37"/>
      <c r="BJC90" s="37"/>
      <c r="BJD90" s="37"/>
      <c r="BJE90" s="37"/>
      <c r="BJF90" s="37"/>
      <c r="BJG90" s="75"/>
      <c r="BJH90" s="37"/>
      <c r="BJI90" s="37"/>
      <c r="BJJ90" s="37"/>
      <c r="BJK90" s="37"/>
      <c r="BJL90" s="37"/>
      <c r="BJM90" s="38"/>
      <c r="BJN90" s="90"/>
    </row>
    <row r="91" spans="1:1626" ht="20.100000000000001" customHeight="1" x14ac:dyDescent="0.25">
      <c r="A91" s="100" t="s">
        <v>18</v>
      </c>
      <c r="B91" s="63"/>
      <c r="C91" s="207"/>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40"/>
      <c r="BHG91" s="66"/>
      <c r="BHH91" s="66"/>
      <c r="BHI91" s="66"/>
      <c r="BHJ91" s="41"/>
      <c r="BHK91" s="134"/>
      <c r="BHL91" s="41"/>
      <c r="BHM91" s="41"/>
      <c r="BHN91" s="41"/>
      <c r="BHO91" s="41"/>
      <c r="BHP91" s="41"/>
      <c r="BHQ91" s="139"/>
      <c r="BHR91" s="41"/>
      <c r="BHS91" s="41"/>
      <c r="BHT91" s="41"/>
      <c r="BHU91" s="41"/>
      <c r="BHV91" s="41"/>
      <c r="BHW91" s="76"/>
      <c r="BHX91" s="41"/>
      <c r="BHY91" s="41"/>
      <c r="BHZ91" s="41"/>
      <c r="BIA91" s="41"/>
      <c r="BIB91" s="41"/>
      <c r="BIC91" s="139"/>
      <c r="BID91" s="41"/>
      <c r="BIE91" s="41"/>
      <c r="BIF91" s="41"/>
      <c r="BIG91" s="41"/>
      <c r="BIH91" s="41"/>
      <c r="BII91" s="76"/>
      <c r="BIJ91" s="66"/>
      <c r="BIK91" s="66"/>
      <c r="BIL91" s="66"/>
      <c r="BIM91" s="66"/>
      <c r="BIN91" s="41"/>
      <c r="BIO91" s="139"/>
      <c r="BIP91" s="41"/>
      <c r="BIQ91" s="41"/>
      <c r="BIR91" s="41"/>
      <c r="BIS91" s="41"/>
      <c r="BIT91" s="41"/>
      <c r="BIU91" s="76"/>
      <c r="BIV91" s="41"/>
      <c r="BIW91" s="41"/>
      <c r="BIX91" s="41"/>
      <c r="BIY91" s="41"/>
      <c r="BIZ91" s="41"/>
      <c r="BJA91" s="139"/>
      <c r="BJB91" s="41"/>
      <c r="BJC91" s="41"/>
      <c r="BJD91" s="41"/>
      <c r="BJE91" s="41"/>
      <c r="BJF91" s="41"/>
      <c r="BJG91" s="76"/>
      <c r="BJH91" s="41"/>
      <c r="BJI91" s="41"/>
      <c r="BJJ91" s="41"/>
      <c r="BJK91" s="41"/>
      <c r="BJL91" s="41"/>
      <c r="BJM91" s="42"/>
      <c r="BJN91" s="90"/>
    </row>
    <row r="92" spans="1:1626" ht="20.100000000000001" customHeight="1" x14ac:dyDescent="0.3">
      <c r="A92" s="100" t="s">
        <v>19</v>
      </c>
      <c r="B92" s="63"/>
      <c r="C92" s="208"/>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28"/>
      <c r="BHG92" s="67"/>
      <c r="BHH92" s="67"/>
      <c r="BHI92" s="67"/>
      <c r="BHJ92" s="29"/>
      <c r="BHK92" s="133"/>
      <c r="BHL92" s="29"/>
      <c r="BHM92" s="29"/>
      <c r="BHN92" s="29"/>
      <c r="BHO92" s="29"/>
      <c r="BHP92" s="29"/>
      <c r="BHQ92" s="138"/>
      <c r="BHR92" s="29"/>
      <c r="BHS92" s="29"/>
      <c r="BHT92" s="29"/>
      <c r="BHU92" s="29"/>
      <c r="BHV92" s="29"/>
      <c r="BHW92" s="75"/>
      <c r="BHX92" s="29"/>
      <c r="BHY92" s="29"/>
      <c r="BHZ92" s="29"/>
      <c r="BIA92" s="29"/>
      <c r="BIB92" s="29"/>
      <c r="BIC92" s="138"/>
      <c r="BID92" s="29"/>
      <c r="BIE92" s="29"/>
      <c r="BIF92" s="29"/>
      <c r="BIG92" s="29"/>
      <c r="BIH92" s="29"/>
      <c r="BII92" s="75"/>
      <c r="BIJ92" s="67"/>
      <c r="BIK92" s="67"/>
      <c r="BIL92" s="67"/>
      <c r="BIM92" s="67"/>
      <c r="BIN92" s="29"/>
      <c r="BIO92" s="138"/>
      <c r="BIP92" s="29"/>
      <c r="BIQ92" s="29"/>
      <c r="BIR92" s="29"/>
      <c r="BIS92" s="29"/>
      <c r="BIT92" s="29"/>
      <c r="BIU92" s="75"/>
      <c r="BIV92" s="29"/>
      <c r="BIW92" s="29"/>
      <c r="BIX92" s="29"/>
      <c r="BIY92" s="29"/>
      <c r="BIZ92" s="29"/>
      <c r="BJA92" s="138"/>
      <c r="BJB92" s="29"/>
      <c r="BJC92" s="29"/>
      <c r="BJD92" s="29"/>
      <c r="BJE92" s="29"/>
      <c r="BJF92" s="29"/>
      <c r="BJG92" s="75"/>
      <c r="BJH92" s="29"/>
      <c r="BJI92" s="29"/>
      <c r="BJJ92" s="29"/>
      <c r="BJK92" s="29"/>
      <c r="BJL92" s="29"/>
      <c r="BJM92" s="30"/>
      <c r="BJN92" s="90"/>
    </row>
    <row r="93" spans="1:1626" ht="20.100000000000001" customHeight="1" x14ac:dyDescent="0.25">
      <c r="A93" s="100" t="s">
        <v>18</v>
      </c>
      <c r="B93" s="63"/>
      <c r="C93" s="207"/>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32"/>
      <c r="BHG93" s="64"/>
      <c r="BHH93" s="64"/>
      <c r="BHI93" s="64"/>
      <c r="BHJ93" s="33"/>
      <c r="BHK93" s="132"/>
      <c r="BHL93" s="33"/>
      <c r="BHM93" s="33"/>
      <c r="BHN93" s="33"/>
      <c r="BHO93" s="33"/>
      <c r="BHP93" s="33"/>
      <c r="BHQ93" s="137"/>
      <c r="BHR93" s="33"/>
      <c r="BHS93" s="33"/>
      <c r="BHT93" s="33"/>
      <c r="BHU93" s="33"/>
      <c r="BHV93" s="33"/>
      <c r="BHW93" s="74"/>
      <c r="BHX93" s="33"/>
      <c r="BHY93" s="33"/>
      <c r="BHZ93" s="33"/>
      <c r="BIA93" s="33"/>
      <c r="BIB93" s="33"/>
      <c r="BIC93" s="137"/>
      <c r="BID93" s="33"/>
      <c r="BIE93" s="33"/>
      <c r="BIF93" s="33"/>
      <c r="BIG93" s="33"/>
      <c r="BIH93" s="33"/>
      <c r="BII93" s="74"/>
      <c r="BIJ93" s="64"/>
      <c r="BIK93" s="64"/>
      <c r="BIL93" s="64"/>
      <c r="BIM93" s="64"/>
      <c r="BIN93" s="33"/>
      <c r="BIO93" s="137"/>
      <c r="BIP93" s="33"/>
      <c r="BIQ93" s="33"/>
      <c r="BIR93" s="33"/>
      <c r="BIS93" s="33"/>
      <c r="BIT93" s="33"/>
      <c r="BIU93" s="74"/>
      <c r="BIV93" s="33"/>
      <c r="BIW93" s="33"/>
      <c r="BIX93" s="33"/>
      <c r="BIY93" s="33"/>
      <c r="BIZ93" s="33"/>
      <c r="BJA93" s="137"/>
      <c r="BJB93" s="33"/>
      <c r="BJC93" s="33"/>
      <c r="BJD93" s="33"/>
      <c r="BJE93" s="33"/>
      <c r="BJF93" s="33"/>
      <c r="BJG93" s="74"/>
      <c r="BJH93" s="33"/>
      <c r="BJI93" s="33"/>
      <c r="BJJ93" s="33"/>
      <c r="BJK93" s="33"/>
      <c r="BJL93" s="33"/>
      <c r="BJM93" s="34"/>
      <c r="BJN93" s="90"/>
    </row>
    <row r="94" spans="1:1626" ht="20.100000000000001" customHeight="1" x14ac:dyDescent="0.25">
      <c r="A94" s="100" t="s">
        <v>19</v>
      </c>
      <c r="B94" s="63"/>
      <c r="C94" s="209"/>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36"/>
      <c r="BHG94" s="65"/>
      <c r="BHH94" s="65"/>
      <c r="BHI94" s="65"/>
      <c r="BHJ94" s="37"/>
      <c r="BHK94" s="133"/>
      <c r="BHL94" s="37"/>
      <c r="BHM94" s="37"/>
      <c r="BHN94" s="37"/>
      <c r="BHO94" s="37"/>
      <c r="BHP94" s="37"/>
      <c r="BHQ94" s="138"/>
      <c r="BHR94" s="37"/>
      <c r="BHS94" s="37"/>
      <c r="BHT94" s="37"/>
      <c r="BHU94" s="37"/>
      <c r="BHV94" s="37"/>
      <c r="BHW94" s="75"/>
      <c r="BHX94" s="37"/>
      <c r="BHY94" s="37"/>
      <c r="BHZ94" s="37"/>
      <c r="BIA94" s="37"/>
      <c r="BIB94" s="37"/>
      <c r="BIC94" s="138"/>
      <c r="BID94" s="37"/>
      <c r="BIE94" s="37"/>
      <c r="BIF94" s="37"/>
      <c r="BIG94" s="37"/>
      <c r="BIH94" s="37"/>
      <c r="BII94" s="75"/>
      <c r="BIJ94" s="65"/>
      <c r="BIK94" s="65"/>
      <c r="BIL94" s="65"/>
      <c r="BIM94" s="65"/>
      <c r="BIN94" s="37"/>
      <c r="BIO94" s="138"/>
      <c r="BIP94" s="37"/>
      <c r="BIQ94" s="37"/>
      <c r="BIR94" s="37"/>
      <c r="BIS94" s="37"/>
      <c r="BIT94" s="37"/>
      <c r="BIU94" s="75"/>
      <c r="BIV94" s="37"/>
      <c r="BIW94" s="37"/>
      <c r="BIX94" s="37"/>
      <c r="BIY94" s="37"/>
      <c r="BIZ94" s="37"/>
      <c r="BJA94" s="138"/>
      <c r="BJB94" s="37"/>
      <c r="BJC94" s="37"/>
      <c r="BJD94" s="37"/>
      <c r="BJE94" s="37"/>
      <c r="BJF94" s="37"/>
      <c r="BJG94" s="75"/>
      <c r="BJH94" s="37"/>
      <c r="BJI94" s="37"/>
      <c r="BJJ94" s="37"/>
      <c r="BJK94" s="37"/>
      <c r="BJL94" s="37"/>
      <c r="BJM94" s="38"/>
      <c r="BJN94" s="90"/>
    </row>
    <row r="95" spans="1:1626" ht="20.100000000000001" customHeight="1" x14ac:dyDescent="0.25">
      <c r="B95" s="96"/>
      <c r="C95" s="223" t="s">
        <v>8</v>
      </c>
      <c r="D95" s="224"/>
      <c r="E95" s="117">
        <f>SUM(E15,E17,E19,E21,E23,E25,E27,E29,E31,E33,E35,E37,E39,E41,E43,E45,E47,E49,E51,E53,E55,E57,E59,E61,E63,E65,E67,E69,E71,E73,E75,E77,E79,E81,E83,E85,E87,E89,E91,E93)</f>
        <v>1072</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70"/>
      <c r="BHG95" s="69"/>
      <c r="BHH95" s="69"/>
      <c r="BHI95" s="69"/>
      <c r="BHJ95" s="69"/>
      <c r="BHK95" s="69"/>
      <c r="BHL95" s="69"/>
      <c r="BHM95" s="69"/>
      <c r="BHN95" s="69"/>
      <c r="BHO95" s="69"/>
      <c r="BHP95" s="69"/>
      <c r="BHQ95" s="69"/>
      <c r="BHR95" s="69"/>
      <c r="BHS95" s="69"/>
      <c r="BHT95" s="69"/>
      <c r="BHU95" s="69"/>
      <c r="BHV95" s="69"/>
      <c r="BHW95" s="69"/>
      <c r="BHX95" s="69"/>
      <c r="BHY95" s="69"/>
      <c r="BHZ95" s="69"/>
      <c r="BIA95" s="69"/>
      <c r="BIB95" s="69"/>
      <c r="BIC95" s="69"/>
      <c r="BID95" s="69"/>
      <c r="BIE95" s="69"/>
      <c r="BIF95" s="69"/>
      <c r="BIG95" s="69"/>
      <c r="BIH95" s="69"/>
      <c r="BII95" s="69"/>
      <c r="BIJ95" s="69"/>
      <c r="BIK95" s="69"/>
      <c r="BIL95" s="69"/>
      <c r="BIM95" s="69"/>
      <c r="BIN95" s="69"/>
      <c r="BIO95" s="69"/>
      <c r="BIP95" s="69"/>
      <c r="BIQ95" s="69"/>
      <c r="BIR95" s="69"/>
      <c r="BIS95" s="69"/>
      <c r="BIT95" s="69"/>
      <c r="BIU95" s="69"/>
      <c r="BIV95" s="69"/>
      <c r="BIW95" s="69"/>
      <c r="BIX95" s="69"/>
      <c r="BIY95" s="69"/>
      <c r="BIZ95" s="69"/>
      <c r="BJA95" s="69"/>
      <c r="BJB95" s="69"/>
      <c r="BJC95" s="69"/>
      <c r="BJD95" s="69"/>
      <c r="BJE95" s="69"/>
      <c r="BJF95" s="69"/>
      <c r="BJG95" s="69"/>
      <c r="BJH95" s="69"/>
      <c r="BJI95" s="69"/>
      <c r="BJJ95" s="69"/>
      <c r="BJK95" s="69"/>
      <c r="BJL95" s="69"/>
      <c r="BJM95" s="85"/>
      <c r="BJN95" s="90"/>
    </row>
    <row r="96" spans="1:1626" ht="20.100000000000001" customHeight="1" thickBot="1" x14ac:dyDescent="0.3">
      <c r="B96" s="96"/>
      <c r="C96" s="225"/>
      <c r="D96" s="226"/>
      <c r="E96" s="123" t="str">
        <f xml:space="preserve"> setValueToTime(E95)</f>
        <v>89h20min</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112"/>
      <c r="BHG96" s="113"/>
      <c r="BHH96" s="113"/>
      <c r="BHI96" s="113"/>
      <c r="BHJ96" s="113"/>
      <c r="BHK96" s="113"/>
      <c r="BHL96" s="113"/>
      <c r="BHM96" s="113"/>
      <c r="BHN96" s="113"/>
      <c r="BHO96" s="113"/>
      <c r="BHP96" s="113"/>
      <c r="BHQ96" s="113"/>
      <c r="BHR96" s="113"/>
      <c r="BHS96" s="113"/>
      <c r="BHT96" s="113"/>
      <c r="BHU96" s="113"/>
      <c r="BHV96" s="113"/>
      <c r="BHW96" s="113"/>
      <c r="BHX96" s="113"/>
      <c r="BHY96" s="113"/>
      <c r="BHZ96" s="113"/>
      <c r="BIA96" s="113"/>
      <c r="BIB96" s="113"/>
      <c r="BIC96" s="113"/>
      <c r="BID96" s="113"/>
      <c r="BIE96" s="113"/>
      <c r="BIF96" s="113"/>
      <c r="BIG96" s="113"/>
      <c r="BIH96" s="113"/>
      <c r="BII96" s="113"/>
      <c r="BIJ96" s="113"/>
      <c r="BIK96" s="113"/>
      <c r="BIL96" s="113"/>
      <c r="BIM96" s="113"/>
      <c r="BIN96" s="113"/>
      <c r="BIO96" s="113"/>
      <c r="BIP96" s="113"/>
      <c r="BIQ96" s="113"/>
      <c r="BIR96" s="113"/>
      <c r="BIS96" s="113"/>
      <c r="BIT96" s="113"/>
      <c r="BIU96" s="113"/>
      <c r="BIV96" s="113"/>
      <c r="BIW96" s="113"/>
      <c r="BIX96" s="113"/>
      <c r="BIY96" s="113"/>
      <c r="BIZ96" s="113"/>
      <c r="BJA96" s="113"/>
      <c r="BJB96" s="113"/>
      <c r="BJC96" s="113"/>
      <c r="BJD96" s="113"/>
      <c r="BJE96" s="113"/>
      <c r="BJF96" s="113"/>
      <c r="BJG96" s="113"/>
      <c r="BJH96" s="113"/>
      <c r="BJI96" s="113"/>
      <c r="BJJ96" s="113"/>
      <c r="BJK96" s="113"/>
      <c r="BJL96" s="113"/>
      <c r="BJM96" s="114"/>
      <c r="BJN96" s="90"/>
    </row>
    <row r="97" spans="2:1626" ht="20.100000000000001" customHeight="1" x14ac:dyDescent="0.25">
      <c r="B97" s="96"/>
      <c r="C97" s="219" t="s">
        <v>9</v>
      </c>
      <c r="D97" s="220"/>
      <c r="E97" s="118">
        <f>SUM(E16,E18,E20,E22,E24,E26,E28,E30,E32,E34,E36,E38,E40,E42,E44,E46,E48,E50,E52,E54,E56,E58,E60,E62,E64,E66,E68,E70,E72,E74,E76,E78,E80,E82,E84,E86,E88,E90,E92,E94)</f>
        <v>377</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15"/>
      <c r="BHG97" s="115"/>
      <c r="BHH97" s="115"/>
      <c r="BHI97" s="115"/>
      <c r="BHJ97" s="115"/>
      <c r="BHK97" s="115"/>
      <c r="BHL97" s="115"/>
      <c r="BHM97" s="115"/>
      <c r="BHN97" s="115"/>
      <c r="BHO97" s="115"/>
      <c r="BHP97" s="115"/>
      <c r="BHQ97" s="115"/>
      <c r="BHR97" s="115"/>
      <c r="BHS97" s="115"/>
      <c r="BHT97" s="115"/>
      <c r="BHU97" s="115"/>
      <c r="BHV97" s="115"/>
      <c r="BHW97" s="115"/>
      <c r="BHX97" s="115"/>
      <c r="BHY97" s="115"/>
      <c r="BHZ97" s="115"/>
      <c r="BIA97" s="115"/>
      <c r="BIB97" s="115"/>
      <c r="BIC97" s="115"/>
      <c r="BID97" s="115"/>
      <c r="BIE97" s="115"/>
      <c r="BIF97" s="115"/>
      <c r="BIG97" s="115"/>
      <c r="BIH97" s="115"/>
      <c r="BII97" s="115"/>
      <c r="BIJ97" s="115"/>
      <c r="BIK97" s="115"/>
      <c r="BIL97" s="115"/>
      <c r="BIM97" s="115"/>
      <c r="BIN97" s="115"/>
      <c r="BIO97" s="115"/>
      <c r="BIP97" s="115"/>
      <c r="BIQ97" s="115"/>
      <c r="BIR97" s="115"/>
      <c r="BIS97" s="115"/>
      <c r="BIT97" s="115"/>
      <c r="BIU97" s="115"/>
      <c r="BIV97" s="115"/>
      <c r="BIW97" s="115"/>
      <c r="BIX97" s="115"/>
      <c r="BIY97" s="115"/>
      <c r="BIZ97" s="115"/>
      <c r="BJA97" s="115"/>
      <c r="BJB97" s="115"/>
      <c r="BJC97" s="115"/>
      <c r="BJD97" s="115"/>
      <c r="BJE97" s="115"/>
      <c r="BJF97" s="115"/>
      <c r="BJG97" s="115"/>
      <c r="BJH97" s="115"/>
      <c r="BJI97" s="115"/>
      <c r="BJJ97" s="115"/>
      <c r="BJK97" s="115"/>
      <c r="BJL97" s="115"/>
      <c r="BJM97" s="116"/>
      <c r="BJN97" s="124"/>
    </row>
    <row r="98" spans="2:1626" ht="20.100000000000001" customHeight="1" thickBot="1" x14ac:dyDescent="0.3">
      <c r="B98" s="96"/>
      <c r="C98" s="221"/>
      <c r="D98" s="222"/>
      <c r="E98" s="122" t="str">
        <f xml:space="preserve"> setValueToTime(E97)</f>
        <v>31h25min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71"/>
      <c r="BHG98" s="71"/>
      <c r="BHH98" s="71"/>
      <c r="BHI98" s="71"/>
      <c r="BHJ98" s="71"/>
      <c r="BHK98" s="71"/>
      <c r="BHL98" s="71"/>
      <c r="BHM98" s="71"/>
      <c r="BHN98" s="71"/>
      <c r="BHO98" s="71"/>
      <c r="BHP98" s="71"/>
      <c r="BHQ98" s="71"/>
      <c r="BHR98" s="71"/>
      <c r="BHS98" s="71"/>
      <c r="BHT98" s="71"/>
      <c r="BHU98" s="71"/>
      <c r="BHV98" s="71"/>
      <c r="BHW98" s="71"/>
      <c r="BHX98" s="71"/>
      <c r="BHY98" s="71"/>
      <c r="BHZ98" s="71"/>
      <c r="BIA98" s="71"/>
      <c r="BIB98" s="71"/>
      <c r="BIC98" s="71"/>
      <c r="BID98" s="71"/>
      <c r="BIE98" s="71"/>
      <c r="BIF98" s="71"/>
      <c r="BIG98" s="71"/>
      <c r="BIH98" s="71"/>
      <c r="BII98" s="71"/>
      <c r="BIJ98" s="71"/>
      <c r="BIK98" s="71"/>
      <c r="BIL98" s="71"/>
      <c r="BIM98" s="71"/>
      <c r="BIN98" s="71"/>
      <c r="BIO98" s="71"/>
      <c r="BIP98" s="71"/>
      <c r="BIQ98" s="71"/>
      <c r="BIR98" s="71"/>
      <c r="BIS98" s="71"/>
      <c r="BIT98" s="71"/>
      <c r="BIU98" s="71"/>
      <c r="BIV98" s="71"/>
      <c r="BIW98" s="71"/>
      <c r="BIX98" s="71"/>
      <c r="BIY98" s="71"/>
      <c r="BIZ98" s="71"/>
      <c r="BJA98" s="71"/>
      <c r="BJB98" s="71"/>
      <c r="BJC98" s="71"/>
      <c r="BJD98" s="71"/>
      <c r="BJE98" s="71"/>
      <c r="BJF98" s="71"/>
      <c r="BJG98" s="71"/>
      <c r="BJH98" s="71"/>
      <c r="BJI98" s="71"/>
      <c r="BJJ98" s="71"/>
      <c r="BJK98" s="71"/>
      <c r="BJL98" s="71"/>
      <c r="BJM98" s="86"/>
      <c r="BJN98" s="90"/>
    </row>
    <row r="99" spans="2:162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89"/>
      <c r="BHG99" s="89"/>
      <c r="BHH99" s="89"/>
      <c r="BHI99" s="89"/>
      <c r="BHJ99" s="89"/>
      <c r="BHK99" s="89"/>
      <c r="BHL99" s="89"/>
      <c r="BHM99" s="89"/>
      <c r="BHN99" s="89"/>
      <c r="BHO99" s="89"/>
      <c r="BHP99" s="89"/>
      <c r="BHQ99" s="89"/>
      <c r="BHR99" s="89"/>
      <c r="BHS99" s="89"/>
      <c r="BHT99" s="89"/>
      <c r="BHU99" s="89"/>
      <c r="BHV99" s="89"/>
      <c r="BHW99" s="89"/>
      <c r="BHX99" s="89"/>
      <c r="BHY99" s="89"/>
      <c r="BHZ99" s="89"/>
      <c r="BIA99" s="89"/>
      <c r="BIB99" s="89"/>
      <c r="BIC99" s="89"/>
      <c r="BID99" s="89"/>
      <c r="BIE99" s="89"/>
      <c r="BIF99" s="89"/>
      <c r="BIG99" s="89"/>
      <c r="BIH99" s="89"/>
      <c r="BII99" s="89"/>
      <c r="BIJ99" s="89"/>
      <c r="BIK99" s="89"/>
      <c r="BIL99" s="89"/>
      <c r="BIM99" s="89"/>
      <c r="BIN99" s="89"/>
      <c r="BIO99" s="89"/>
      <c r="BIP99" s="89"/>
      <c r="BIQ99" s="89"/>
      <c r="BIR99" s="89"/>
      <c r="BIS99" s="89"/>
      <c r="BIT99" s="89"/>
      <c r="BIU99" s="89"/>
      <c r="BIV99" s="89"/>
      <c r="BIW99" s="89"/>
      <c r="BIX99" s="89"/>
      <c r="BIY99" s="89"/>
      <c r="BIZ99" s="89"/>
      <c r="BJA99" s="89"/>
      <c r="BJB99" s="89"/>
      <c r="BJC99" s="89"/>
      <c r="BJD99" s="89"/>
      <c r="BJE99" s="89"/>
      <c r="BJF99" s="89"/>
      <c r="BJG99" s="89"/>
      <c r="BJH99" s="89"/>
      <c r="BJI99" s="89"/>
      <c r="BJJ99" s="89"/>
      <c r="BJK99" s="89"/>
      <c r="BJL99" s="89"/>
      <c r="BJM99" s="89"/>
      <c r="BJN99" s="91"/>
    </row>
  </sheetData>
  <sheetProtection insertRows="0" insertHyperlinks="0" selectLockedCells="1"/>
  <mergeCells count="401">
    <mergeCell ref="F13:BM13"/>
    <mergeCell ref="J14:M14"/>
    <mergeCell ref="P14:S14"/>
    <mergeCell ref="C95:D96"/>
    <mergeCell ref="BN13:DU13"/>
    <mergeCell ref="DH14:DK14"/>
    <mergeCell ref="DN14:DQ14"/>
    <mergeCell ref="C89:C90"/>
    <mergeCell ref="C37:C38"/>
    <mergeCell ref="C45:C46"/>
    <mergeCell ref="C31:C32"/>
    <mergeCell ref="C33:C34"/>
    <mergeCell ref="C35:C36"/>
    <mergeCell ref="C85:C86"/>
    <mergeCell ref="C87:C88"/>
    <mergeCell ref="C53:C54"/>
    <mergeCell ref="C83:C84"/>
    <mergeCell ref="C81:C82"/>
    <mergeCell ref="C79:C80"/>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C25:C26"/>
    <mergeCell ref="C39:C40"/>
    <mergeCell ref="C41:C42"/>
    <mergeCell ref="C27:C28"/>
    <mergeCell ref="C55:C56"/>
    <mergeCell ref="C57:C58"/>
    <mergeCell ref="C59:C60"/>
    <mergeCell ref="C61:C62"/>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F12:BM12"/>
    <mergeCell ref="F11:BM11"/>
    <mergeCell ref="W9:AG9"/>
    <mergeCell ref="AH9:AW9"/>
    <mergeCell ref="CR10:DU10"/>
    <mergeCell ref="BN10:CP10"/>
    <mergeCell ref="BN11:DU11"/>
    <mergeCell ref="BN12:DU12"/>
    <mergeCell ref="G9:U9"/>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13:C14"/>
    <mergeCell ref="E13:E14"/>
    <mergeCell ref="C29:C30"/>
    <mergeCell ref="C19:C20"/>
    <mergeCell ref="C21:C22"/>
    <mergeCell ref="C15:C16"/>
    <mergeCell ref="C43:C44"/>
    <mergeCell ref="C23:C24"/>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325"/>
  <sheetViews>
    <sheetView showGridLines="0" zoomScaleNormal="100" zoomScaleSheetLayoutView="98" workbookViewId="0">
      <pane ySplit="1" topLeftCell="A202" activePane="bottomLeft" state="frozen"/>
      <selection activeCell="BC13" sqref="BC13"/>
      <selection pane="bottomLeft" activeCell="G325" sqref="G325"/>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7.5703125" style="125" customWidth="1"/>
    <col min="6" max="6" width="24.5703125" style="61" customWidth="1"/>
    <col min="7" max="16384" width="11.42578125" style="61"/>
  </cols>
  <sheetData>
    <row r="1" spans="1:7" ht="49.5" customHeight="1" thickBot="1" x14ac:dyDescent="0.35">
      <c r="D1" s="62"/>
    </row>
    <row r="2" spans="1:7" s="47" customFormat="1" ht="30" customHeight="1" thickBot="1" x14ac:dyDescent="0.3">
      <c r="A2" s="81" t="s">
        <v>10</v>
      </c>
      <c r="B2" s="163">
        <v>27</v>
      </c>
      <c r="C2" s="163"/>
      <c r="D2" s="82" t="s">
        <v>13</v>
      </c>
      <c r="E2" s="94">
        <v>44713</v>
      </c>
      <c r="F2" s="126" t="s">
        <v>50</v>
      </c>
      <c r="G2" s="46"/>
    </row>
    <row r="3" spans="1:7" s="47" customFormat="1" ht="30" customHeight="1" thickBot="1" x14ac:dyDescent="0.3">
      <c r="A3" s="80" t="s">
        <v>4</v>
      </c>
      <c r="B3" s="150" t="s">
        <v>38</v>
      </c>
      <c r="C3" s="151"/>
      <c r="D3" s="80" t="s">
        <v>11</v>
      </c>
      <c r="E3" s="229" t="s">
        <v>12</v>
      </c>
      <c r="F3" s="230"/>
      <c r="G3" s="46"/>
    </row>
    <row r="4" spans="1:7" s="52" customFormat="1" x14ac:dyDescent="0.3">
      <c r="A4" s="53" t="s">
        <v>15</v>
      </c>
      <c r="B4" s="54">
        <v>4</v>
      </c>
      <c r="C4" s="153" t="str">
        <f t="shared" ref="C4:C5" si="0" xml:space="preserve"> IF(B4="","",setValueToTime(B4))</f>
        <v>0h20min</v>
      </c>
      <c r="D4" s="166" t="s">
        <v>63</v>
      </c>
      <c r="E4" s="231"/>
      <c r="F4" s="232"/>
      <c r="G4" s="51"/>
    </row>
    <row r="5" spans="1:7" s="52" customFormat="1" x14ac:dyDescent="0.3">
      <c r="A5" s="53" t="s">
        <v>44</v>
      </c>
      <c r="B5" s="54">
        <v>1</v>
      </c>
      <c r="C5" s="153" t="str">
        <f t="shared" si="0"/>
        <v>0h5min</v>
      </c>
      <c r="D5" s="166" t="s">
        <v>77</v>
      </c>
      <c r="E5" s="233"/>
      <c r="F5" s="234"/>
      <c r="G5" s="51"/>
    </row>
    <row r="6" spans="1:7" s="52" customFormat="1" x14ac:dyDescent="0.3">
      <c r="A6" s="53" t="s">
        <v>96</v>
      </c>
      <c r="B6" s="54">
        <v>27</v>
      </c>
      <c r="C6" s="153" t="str">
        <f t="shared" ref="C6:C11" si="1" xml:space="preserve"> IF(B6="","",setValueToTime(B6))</f>
        <v>2h15min</v>
      </c>
      <c r="D6" s="166" t="s">
        <v>97</v>
      </c>
      <c r="E6" s="233"/>
      <c r="F6" s="234"/>
      <c r="G6" s="51"/>
    </row>
    <row r="7" spans="1:7" s="52" customFormat="1" ht="27" x14ac:dyDescent="0.3">
      <c r="A7" s="53" t="s">
        <v>51</v>
      </c>
      <c r="B7" s="54">
        <v>4</v>
      </c>
      <c r="C7" s="153" t="str">
        <f t="shared" si="1"/>
        <v>0h20min</v>
      </c>
      <c r="D7" s="166" t="s">
        <v>76</v>
      </c>
      <c r="E7" s="233"/>
      <c r="F7" s="234"/>
      <c r="G7" s="51"/>
    </row>
    <row r="8" spans="1:7" s="52" customFormat="1" x14ac:dyDescent="0.3">
      <c r="A8" s="54"/>
      <c r="B8" s="54"/>
      <c r="C8" s="154" t="str">
        <f t="shared" si="1"/>
        <v/>
      </c>
      <c r="D8" s="55"/>
      <c r="E8" s="233"/>
      <c r="F8" s="234"/>
      <c r="G8" s="51"/>
    </row>
    <row r="9" spans="1:7" s="52" customFormat="1" x14ac:dyDescent="0.3">
      <c r="A9" s="54"/>
      <c r="B9" s="54"/>
      <c r="C9" s="154" t="str">
        <f t="shared" si="1"/>
        <v/>
      </c>
      <c r="D9" s="55"/>
      <c r="E9" s="233"/>
      <c r="F9" s="234"/>
      <c r="G9" s="51"/>
    </row>
    <row r="10" spans="1:7" s="52" customFormat="1" x14ac:dyDescent="0.3">
      <c r="A10" s="54"/>
      <c r="B10" s="54"/>
      <c r="C10" s="154" t="str">
        <f t="shared" si="1"/>
        <v/>
      </c>
      <c r="D10" s="55"/>
      <c r="E10" s="233"/>
      <c r="F10" s="234"/>
      <c r="G10" s="51"/>
    </row>
    <row r="11" spans="1:7" s="52" customFormat="1" ht="15" thickBot="1" x14ac:dyDescent="0.35">
      <c r="A11" s="56"/>
      <c r="B11" s="56"/>
      <c r="C11" s="155" t="str">
        <f t="shared" si="1"/>
        <v/>
      </c>
      <c r="D11" s="57"/>
      <c r="E11" s="235"/>
      <c r="F11" s="236"/>
      <c r="G11" s="51"/>
    </row>
    <row r="12" spans="1:7" s="52" customFormat="1" ht="15" thickBot="1" x14ac:dyDescent="0.35">
      <c r="A12" s="111" t="s">
        <v>27</v>
      </c>
      <c r="B12" s="84">
        <f>SUM(B4:B11)</f>
        <v>36</v>
      </c>
      <c r="C12" s="111" t="str">
        <f xml:space="preserve"> setValueToTime(B12)</f>
        <v>3h</v>
      </c>
      <c r="D12" s="120"/>
      <c r="E12" s="227"/>
      <c r="F12" s="228"/>
      <c r="G12" s="51"/>
    </row>
    <row r="13" spans="1:7" s="59" customFormat="1" ht="15" thickBot="1" x14ac:dyDescent="0.35">
      <c r="A13" s="79"/>
      <c r="B13" s="79"/>
      <c r="C13" s="79"/>
      <c r="D13" s="79"/>
      <c r="E13" s="79"/>
      <c r="F13" s="79"/>
      <c r="G13" s="58"/>
    </row>
    <row r="14" spans="1:7" s="47" customFormat="1" ht="30" customHeight="1" thickBot="1" x14ac:dyDescent="0.3">
      <c r="A14" s="81" t="s">
        <v>10</v>
      </c>
      <c r="B14" s="163">
        <v>26</v>
      </c>
      <c r="C14" s="163"/>
      <c r="D14" s="82" t="s">
        <v>13</v>
      </c>
      <c r="E14" s="94">
        <v>44713</v>
      </c>
      <c r="F14" s="126" t="s">
        <v>49</v>
      </c>
      <c r="G14" s="46"/>
    </row>
    <row r="15" spans="1:7" s="47" customFormat="1" ht="30" customHeight="1" thickBot="1" x14ac:dyDescent="0.3">
      <c r="A15" s="80" t="s">
        <v>4</v>
      </c>
      <c r="B15" s="150" t="s">
        <v>38</v>
      </c>
      <c r="C15" s="151"/>
      <c r="D15" s="80" t="s">
        <v>11</v>
      </c>
      <c r="E15" s="229" t="s">
        <v>12</v>
      </c>
      <c r="F15" s="230"/>
      <c r="G15" s="46"/>
    </row>
    <row r="16" spans="1:7" s="52" customFormat="1" x14ac:dyDescent="0.3">
      <c r="A16" s="48" t="s">
        <v>96</v>
      </c>
      <c r="B16" s="49">
        <v>45</v>
      </c>
      <c r="C16" s="152" t="str">
        <f xml:space="preserve"> IF(B16="","",setValueToTime(B16))</f>
        <v>3h45min</v>
      </c>
      <c r="D16" s="165" t="s">
        <v>97</v>
      </c>
      <c r="E16" s="231"/>
      <c r="F16" s="232"/>
      <c r="G16" s="51"/>
    </row>
    <row r="17" spans="1:7" s="52" customFormat="1" x14ac:dyDescent="0.3">
      <c r="A17" s="53"/>
      <c r="B17" s="54"/>
      <c r="C17" s="153" t="str">
        <f t="shared" ref="C17:C23" si="2" xml:space="preserve"> IF(B17="","",setValueToTime(B17))</f>
        <v/>
      </c>
      <c r="D17" s="55"/>
      <c r="E17" s="233"/>
      <c r="F17" s="234"/>
      <c r="G17" s="51"/>
    </row>
    <row r="18" spans="1:7" s="52" customFormat="1" x14ac:dyDescent="0.3">
      <c r="A18" s="53"/>
      <c r="B18" s="54"/>
      <c r="C18" s="153" t="str">
        <f t="shared" si="2"/>
        <v/>
      </c>
      <c r="D18" s="55"/>
      <c r="E18" s="233"/>
      <c r="F18" s="234"/>
      <c r="G18" s="51"/>
    </row>
    <row r="19" spans="1:7" s="52" customFormat="1" x14ac:dyDescent="0.3">
      <c r="A19" s="53"/>
      <c r="B19" s="54"/>
      <c r="C19" s="153" t="str">
        <f t="shared" si="2"/>
        <v/>
      </c>
      <c r="D19" s="55"/>
      <c r="E19" s="233"/>
      <c r="F19" s="234"/>
      <c r="G19" s="51"/>
    </row>
    <row r="20" spans="1:7" s="52" customFormat="1" x14ac:dyDescent="0.3">
      <c r="A20" s="54"/>
      <c r="B20" s="54"/>
      <c r="C20" s="154" t="str">
        <f t="shared" si="2"/>
        <v/>
      </c>
      <c r="D20" s="55"/>
      <c r="E20" s="233"/>
      <c r="F20" s="234"/>
      <c r="G20" s="51"/>
    </row>
    <row r="21" spans="1:7" s="52" customFormat="1" x14ac:dyDescent="0.3">
      <c r="A21" s="54"/>
      <c r="B21" s="54"/>
      <c r="C21" s="154" t="str">
        <f t="shared" si="2"/>
        <v/>
      </c>
      <c r="D21" s="55"/>
      <c r="E21" s="233"/>
      <c r="F21" s="234"/>
      <c r="G21" s="51"/>
    </row>
    <row r="22" spans="1:7" s="52" customFormat="1" x14ac:dyDescent="0.3">
      <c r="A22" s="54"/>
      <c r="B22" s="54"/>
      <c r="C22" s="154" t="str">
        <f t="shared" si="2"/>
        <v/>
      </c>
      <c r="D22" s="55"/>
      <c r="E22" s="233"/>
      <c r="F22" s="234"/>
      <c r="G22" s="51"/>
    </row>
    <row r="23" spans="1:7" s="52" customFormat="1" ht="15" thickBot="1" x14ac:dyDescent="0.35">
      <c r="A23" s="56"/>
      <c r="B23" s="56"/>
      <c r="C23" s="155" t="str">
        <f t="shared" si="2"/>
        <v/>
      </c>
      <c r="D23" s="57"/>
      <c r="E23" s="235"/>
      <c r="F23" s="236"/>
      <c r="G23" s="51"/>
    </row>
    <row r="24" spans="1:7" s="52" customFormat="1" ht="15" thickBot="1" x14ac:dyDescent="0.35">
      <c r="A24" s="111" t="s">
        <v>27</v>
      </c>
      <c r="B24" s="84">
        <f>SUM(B16:B23)</f>
        <v>45</v>
      </c>
      <c r="C24" s="111" t="str">
        <f xml:space="preserve"> setValueToTime(B24)</f>
        <v>3h45min</v>
      </c>
      <c r="D24" s="120"/>
      <c r="E24" s="227"/>
      <c r="F24" s="228"/>
      <c r="G24" s="51"/>
    </row>
    <row r="25" spans="1:7" s="59" customFormat="1" ht="15" thickBot="1" x14ac:dyDescent="0.35">
      <c r="A25" s="79"/>
      <c r="B25" s="79"/>
      <c r="C25" s="79"/>
      <c r="D25" s="79"/>
      <c r="E25" s="79"/>
      <c r="F25" s="79"/>
      <c r="G25" s="58"/>
    </row>
    <row r="26" spans="1:7" s="47" customFormat="1" ht="30" customHeight="1" thickBot="1" x14ac:dyDescent="0.3">
      <c r="A26" s="81" t="s">
        <v>10</v>
      </c>
      <c r="B26" s="163">
        <v>25</v>
      </c>
      <c r="C26" s="163"/>
      <c r="D26" s="82" t="s">
        <v>13</v>
      </c>
      <c r="E26" s="94">
        <v>44711</v>
      </c>
      <c r="F26" s="126" t="s">
        <v>49</v>
      </c>
      <c r="G26" s="46"/>
    </row>
    <row r="27" spans="1:7" s="47" customFormat="1" ht="30" customHeight="1" thickBot="1" x14ac:dyDescent="0.3">
      <c r="A27" s="80" t="s">
        <v>4</v>
      </c>
      <c r="B27" s="150" t="s">
        <v>38</v>
      </c>
      <c r="C27" s="151"/>
      <c r="D27" s="80" t="s">
        <v>11</v>
      </c>
      <c r="E27" s="229" t="s">
        <v>12</v>
      </c>
      <c r="F27" s="230"/>
      <c r="G27" s="46"/>
    </row>
    <row r="28" spans="1:7" s="52" customFormat="1" x14ac:dyDescent="0.3">
      <c r="A28" s="53" t="s">
        <v>15</v>
      </c>
      <c r="B28" s="54">
        <v>2</v>
      </c>
      <c r="C28" s="153" t="str">
        <f t="shared" ref="C28:C29" si="3" xml:space="preserve"> IF(B28="","",setValueToTime(B28))</f>
        <v>0h10min</v>
      </c>
      <c r="D28" s="166" t="s">
        <v>63</v>
      </c>
      <c r="E28" s="231"/>
      <c r="F28" s="232"/>
      <c r="G28" s="51"/>
    </row>
    <row r="29" spans="1:7" s="52" customFormat="1" x14ac:dyDescent="0.3">
      <c r="A29" s="53" t="s">
        <v>44</v>
      </c>
      <c r="B29" s="54">
        <v>1</v>
      </c>
      <c r="C29" s="153" t="str">
        <f t="shared" si="3"/>
        <v>0h5min</v>
      </c>
      <c r="D29" s="166" t="s">
        <v>77</v>
      </c>
      <c r="E29" s="233"/>
      <c r="F29" s="234"/>
      <c r="G29" s="51"/>
    </row>
    <row r="30" spans="1:7" s="52" customFormat="1" x14ac:dyDescent="0.3">
      <c r="A30" s="53" t="s">
        <v>14</v>
      </c>
      <c r="B30" s="54">
        <v>33</v>
      </c>
      <c r="C30" s="153" t="str">
        <f t="shared" ref="C30:C35" si="4" xml:space="preserve"> IF(B30="","",setValueToTime(B30))</f>
        <v>2h45min</v>
      </c>
      <c r="D30" s="166" t="s">
        <v>95</v>
      </c>
      <c r="E30" s="233"/>
      <c r="F30" s="234"/>
      <c r="G30" s="51"/>
    </row>
    <row r="31" spans="1:7" s="52" customFormat="1" x14ac:dyDescent="0.3">
      <c r="A31" s="53"/>
      <c r="B31" s="54"/>
      <c r="C31" s="153" t="str">
        <f t="shared" si="4"/>
        <v/>
      </c>
      <c r="D31" s="55"/>
      <c r="E31" s="233"/>
      <c r="F31" s="234"/>
      <c r="G31" s="51"/>
    </row>
    <row r="32" spans="1:7" s="52" customFormat="1" x14ac:dyDescent="0.3">
      <c r="A32" s="54"/>
      <c r="B32" s="54"/>
      <c r="C32" s="154" t="str">
        <f t="shared" si="4"/>
        <v/>
      </c>
      <c r="D32" s="55"/>
      <c r="E32" s="233"/>
      <c r="F32" s="234"/>
      <c r="G32" s="51"/>
    </row>
    <row r="33" spans="1:7" s="52" customFormat="1" x14ac:dyDescent="0.3">
      <c r="A33" s="54"/>
      <c r="B33" s="54"/>
      <c r="C33" s="154" t="str">
        <f t="shared" si="4"/>
        <v/>
      </c>
      <c r="D33" s="55"/>
      <c r="E33" s="233"/>
      <c r="F33" s="234"/>
      <c r="G33" s="51"/>
    </row>
    <row r="34" spans="1:7" s="52" customFormat="1" x14ac:dyDescent="0.3">
      <c r="A34" s="54"/>
      <c r="B34" s="54"/>
      <c r="C34" s="154" t="str">
        <f t="shared" si="4"/>
        <v/>
      </c>
      <c r="D34" s="55"/>
      <c r="E34" s="233"/>
      <c r="F34" s="234"/>
      <c r="G34" s="51"/>
    </row>
    <row r="35" spans="1:7" s="52" customFormat="1" ht="15" thickBot="1" x14ac:dyDescent="0.35">
      <c r="A35" s="56"/>
      <c r="B35" s="56"/>
      <c r="C35" s="155" t="str">
        <f t="shared" si="4"/>
        <v/>
      </c>
      <c r="D35" s="57"/>
      <c r="E35" s="235"/>
      <c r="F35" s="236"/>
      <c r="G35" s="51"/>
    </row>
    <row r="36" spans="1:7" s="52" customFormat="1" ht="15" thickBot="1" x14ac:dyDescent="0.35">
      <c r="A36" s="111" t="s">
        <v>27</v>
      </c>
      <c r="B36" s="84">
        <f>SUM(B28:B35)</f>
        <v>36</v>
      </c>
      <c r="C36" s="111" t="str">
        <f xml:space="preserve"> setValueToTime(B36)</f>
        <v>3h</v>
      </c>
      <c r="D36" s="120"/>
      <c r="E36" s="227"/>
      <c r="F36" s="228"/>
      <c r="G36" s="51"/>
    </row>
    <row r="37" spans="1:7" s="59" customFormat="1" ht="15" thickBot="1" x14ac:dyDescent="0.35">
      <c r="A37" s="79"/>
      <c r="B37" s="79"/>
      <c r="C37" s="79"/>
      <c r="D37" s="79"/>
      <c r="E37" s="79"/>
      <c r="F37" s="79"/>
      <c r="G37" s="58"/>
    </row>
    <row r="38" spans="1:7" s="47" customFormat="1" ht="30" customHeight="1" thickBot="1" x14ac:dyDescent="0.3">
      <c r="A38" s="81" t="s">
        <v>10</v>
      </c>
      <c r="B38" s="163">
        <v>24</v>
      </c>
      <c r="C38" s="163"/>
      <c r="D38" s="82" t="s">
        <v>13</v>
      </c>
      <c r="E38" s="94">
        <v>44706</v>
      </c>
      <c r="F38" s="126" t="s">
        <v>50</v>
      </c>
      <c r="G38" s="46"/>
    </row>
    <row r="39" spans="1:7" s="47" customFormat="1" ht="30" customHeight="1" thickBot="1" x14ac:dyDescent="0.3">
      <c r="A39" s="80" t="s">
        <v>4</v>
      </c>
      <c r="B39" s="150" t="s">
        <v>38</v>
      </c>
      <c r="C39" s="151"/>
      <c r="D39" s="80" t="s">
        <v>11</v>
      </c>
      <c r="E39" s="229" t="s">
        <v>12</v>
      </c>
      <c r="F39" s="230"/>
      <c r="G39" s="46"/>
    </row>
    <row r="40" spans="1:7" s="52" customFormat="1" x14ac:dyDescent="0.3">
      <c r="A40" s="53" t="s">
        <v>15</v>
      </c>
      <c r="B40" s="54">
        <v>4</v>
      </c>
      <c r="C40" s="153" t="str">
        <f t="shared" ref="C40:C41" si="5" xml:space="preserve"> IF(B40="","",setValueToTime(B40))</f>
        <v>0h20min</v>
      </c>
      <c r="D40" s="166" t="s">
        <v>63</v>
      </c>
      <c r="E40" s="231"/>
      <c r="F40" s="232"/>
      <c r="G40" s="51"/>
    </row>
    <row r="41" spans="1:7" s="52" customFormat="1" x14ac:dyDescent="0.3">
      <c r="A41" s="53" t="s">
        <v>44</v>
      </c>
      <c r="B41" s="54">
        <v>1</v>
      </c>
      <c r="C41" s="153" t="str">
        <f t="shared" si="5"/>
        <v>0h5min</v>
      </c>
      <c r="D41" s="166" t="s">
        <v>77</v>
      </c>
      <c r="E41" s="233"/>
      <c r="F41" s="234"/>
      <c r="G41" s="51"/>
    </row>
    <row r="42" spans="1:7" s="52" customFormat="1" x14ac:dyDescent="0.3">
      <c r="A42" s="53" t="s">
        <v>14</v>
      </c>
      <c r="B42" s="54">
        <v>36</v>
      </c>
      <c r="C42" s="153" t="str">
        <f t="shared" ref="C42:C47" si="6" xml:space="preserve"> IF(B42="","",setValueToTime(B42))</f>
        <v>3h</v>
      </c>
      <c r="D42" s="166" t="s">
        <v>95</v>
      </c>
      <c r="E42" s="233"/>
      <c r="F42" s="234"/>
      <c r="G42" s="51"/>
    </row>
    <row r="43" spans="1:7" s="52" customFormat="1" ht="27" x14ac:dyDescent="0.3">
      <c r="A43" s="53" t="s">
        <v>51</v>
      </c>
      <c r="B43" s="54">
        <v>4</v>
      </c>
      <c r="C43" s="153" t="str">
        <f t="shared" si="6"/>
        <v>0h20min</v>
      </c>
      <c r="D43" s="166" t="s">
        <v>76</v>
      </c>
      <c r="E43" s="233"/>
      <c r="F43" s="234"/>
      <c r="G43" s="51"/>
    </row>
    <row r="44" spans="1:7" s="52" customFormat="1" x14ac:dyDescent="0.3">
      <c r="A44" s="54"/>
      <c r="B44" s="54"/>
      <c r="C44" s="154" t="str">
        <f t="shared" si="6"/>
        <v/>
      </c>
      <c r="D44" s="55"/>
      <c r="E44" s="233"/>
      <c r="F44" s="234"/>
      <c r="G44" s="51"/>
    </row>
    <row r="45" spans="1:7" s="52" customFormat="1" x14ac:dyDescent="0.3">
      <c r="A45" s="54"/>
      <c r="B45" s="54"/>
      <c r="C45" s="154" t="str">
        <f t="shared" si="6"/>
        <v/>
      </c>
      <c r="D45" s="55"/>
      <c r="E45" s="233"/>
      <c r="F45" s="234"/>
      <c r="G45" s="51"/>
    </row>
    <row r="46" spans="1:7" s="52" customFormat="1" x14ac:dyDescent="0.3">
      <c r="A46" s="54"/>
      <c r="B46" s="54"/>
      <c r="C46" s="154" t="str">
        <f t="shared" si="6"/>
        <v/>
      </c>
      <c r="D46" s="55"/>
      <c r="E46" s="233"/>
      <c r="F46" s="234"/>
      <c r="G46" s="51"/>
    </row>
    <row r="47" spans="1:7" s="52" customFormat="1" ht="15" thickBot="1" x14ac:dyDescent="0.35">
      <c r="A47" s="56"/>
      <c r="B47" s="56"/>
      <c r="C47" s="155" t="str">
        <f t="shared" si="6"/>
        <v/>
      </c>
      <c r="D47" s="57"/>
      <c r="E47" s="235"/>
      <c r="F47" s="236"/>
      <c r="G47" s="51"/>
    </row>
    <row r="48" spans="1:7" s="52" customFormat="1" ht="15" thickBot="1" x14ac:dyDescent="0.35">
      <c r="A48" s="111" t="s">
        <v>27</v>
      </c>
      <c r="B48" s="84">
        <f>SUM(B40:B47)</f>
        <v>45</v>
      </c>
      <c r="C48" s="111" t="str">
        <f xml:space="preserve"> setValueToTime(B48)</f>
        <v>3h45min</v>
      </c>
      <c r="D48" s="120"/>
      <c r="E48" s="227"/>
      <c r="F48" s="228"/>
      <c r="G48" s="51"/>
    </row>
    <row r="49" spans="1:7" s="59" customFormat="1" ht="15" thickBot="1" x14ac:dyDescent="0.35">
      <c r="A49" s="79"/>
      <c r="B49" s="79"/>
      <c r="C49" s="79"/>
      <c r="D49" s="79"/>
      <c r="E49" s="79"/>
      <c r="F49" s="79"/>
      <c r="G49" s="58"/>
    </row>
    <row r="50" spans="1:7" s="47" customFormat="1" ht="30" customHeight="1" thickBot="1" x14ac:dyDescent="0.3">
      <c r="A50" s="81" t="s">
        <v>10</v>
      </c>
      <c r="B50" s="163">
        <v>23</v>
      </c>
      <c r="C50" s="163"/>
      <c r="D50" s="82" t="s">
        <v>13</v>
      </c>
      <c r="E50" s="94">
        <v>44706</v>
      </c>
      <c r="F50" s="126" t="s">
        <v>49</v>
      </c>
      <c r="G50" s="46"/>
    </row>
    <row r="51" spans="1:7" s="47" customFormat="1" ht="30" customHeight="1" thickBot="1" x14ac:dyDescent="0.3">
      <c r="A51" s="80" t="s">
        <v>4</v>
      </c>
      <c r="B51" s="150" t="s">
        <v>38</v>
      </c>
      <c r="C51" s="151"/>
      <c r="D51" s="80" t="s">
        <v>11</v>
      </c>
      <c r="E51" s="229" t="s">
        <v>12</v>
      </c>
      <c r="F51" s="230"/>
      <c r="G51" s="46"/>
    </row>
    <row r="52" spans="1:7" s="52" customFormat="1" x14ac:dyDescent="0.3">
      <c r="A52" s="48" t="s">
        <v>14</v>
      </c>
      <c r="B52" s="49">
        <v>45</v>
      </c>
      <c r="C52" s="152" t="str">
        <f xml:space="preserve"> IF(B52="","",setValueToTime(B52))</f>
        <v>3h45min</v>
      </c>
      <c r="D52" s="165" t="s">
        <v>95</v>
      </c>
      <c r="E52" s="231"/>
      <c r="F52" s="232"/>
      <c r="G52" s="51"/>
    </row>
    <row r="53" spans="1:7" s="52" customFormat="1" x14ac:dyDescent="0.3">
      <c r="A53" s="53"/>
      <c r="B53" s="54"/>
      <c r="C53" s="153" t="str">
        <f t="shared" ref="C53:C59" si="7" xml:space="preserve"> IF(B53="","",setValueToTime(B53))</f>
        <v/>
      </c>
      <c r="D53" s="55"/>
      <c r="E53" s="233"/>
      <c r="F53" s="234"/>
      <c r="G53" s="51"/>
    </row>
    <row r="54" spans="1:7" s="52" customFormat="1" x14ac:dyDescent="0.3">
      <c r="A54" s="53"/>
      <c r="B54" s="54"/>
      <c r="C54" s="153" t="str">
        <f t="shared" si="7"/>
        <v/>
      </c>
      <c r="D54" s="55"/>
      <c r="E54" s="233"/>
      <c r="F54" s="234"/>
      <c r="G54" s="51"/>
    </row>
    <row r="55" spans="1:7" s="52" customFormat="1" x14ac:dyDescent="0.3">
      <c r="A55" s="53"/>
      <c r="B55" s="54"/>
      <c r="C55" s="153" t="str">
        <f t="shared" si="7"/>
        <v/>
      </c>
      <c r="D55" s="55"/>
      <c r="E55" s="233"/>
      <c r="F55" s="234"/>
      <c r="G55" s="51"/>
    </row>
    <row r="56" spans="1:7" s="52" customFormat="1" x14ac:dyDescent="0.3">
      <c r="A56" s="54"/>
      <c r="B56" s="54"/>
      <c r="C56" s="154" t="str">
        <f t="shared" si="7"/>
        <v/>
      </c>
      <c r="D56" s="55"/>
      <c r="E56" s="233"/>
      <c r="F56" s="234"/>
      <c r="G56" s="51"/>
    </row>
    <row r="57" spans="1:7" s="52" customFormat="1" x14ac:dyDescent="0.3">
      <c r="A57" s="54"/>
      <c r="B57" s="54"/>
      <c r="C57" s="154" t="str">
        <f t="shared" si="7"/>
        <v/>
      </c>
      <c r="D57" s="55"/>
      <c r="E57" s="233"/>
      <c r="F57" s="234"/>
      <c r="G57" s="51"/>
    </row>
    <row r="58" spans="1:7" s="52" customFormat="1" x14ac:dyDescent="0.3">
      <c r="A58" s="54"/>
      <c r="B58" s="54"/>
      <c r="C58" s="154" t="str">
        <f t="shared" si="7"/>
        <v/>
      </c>
      <c r="D58" s="55"/>
      <c r="E58" s="233"/>
      <c r="F58" s="234"/>
      <c r="G58" s="51"/>
    </row>
    <row r="59" spans="1:7" s="52" customFormat="1" ht="15" thickBot="1" x14ac:dyDescent="0.35">
      <c r="A59" s="56"/>
      <c r="B59" s="56"/>
      <c r="C59" s="155" t="str">
        <f t="shared" si="7"/>
        <v/>
      </c>
      <c r="D59" s="57"/>
      <c r="E59" s="235"/>
      <c r="F59" s="236"/>
      <c r="G59" s="51"/>
    </row>
    <row r="60" spans="1:7" s="52" customFormat="1" ht="15" thickBot="1" x14ac:dyDescent="0.35">
      <c r="A60" s="111" t="s">
        <v>27</v>
      </c>
      <c r="B60" s="84">
        <f>SUM(B52:B59)</f>
        <v>45</v>
      </c>
      <c r="C60" s="111" t="str">
        <f xml:space="preserve"> setValueToTime(B60)</f>
        <v>3h45min</v>
      </c>
      <c r="D60" s="120"/>
      <c r="E60" s="227"/>
      <c r="F60" s="228"/>
      <c r="G60" s="51"/>
    </row>
    <row r="61" spans="1:7" s="59" customFormat="1" ht="15" thickBot="1" x14ac:dyDescent="0.35">
      <c r="A61" s="79"/>
      <c r="B61" s="79"/>
      <c r="C61" s="79"/>
      <c r="D61" s="79"/>
      <c r="E61" s="79"/>
      <c r="F61" s="79"/>
      <c r="G61" s="58"/>
    </row>
    <row r="62" spans="1:7" s="47" customFormat="1" ht="30" customHeight="1" thickBot="1" x14ac:dyDescent="0.3">
      <c r="A62" s="81" t="s">
        <v>10</v>
      </c>
      <c r="B62" s="163">
        <v>22</v>
      </c>
      <c r="C62" s="163"/>
      <c r="D62" s="82" t="s">
        <v>13</v>
      </c>
      <c r="E62" s="94">
        <v>44704</v>
      </c>
      <c r="F62" s="126" t="s">
        <v>49</v>
      </c>
      <c r="G62" s="46"/>
    </row>
    <row r="63" spans="1:7" s="47" customFormat="1" ht="30" customHeight="1" thickBot="1" x14ac:dyDescent="0.3">
      <c r="A63" s="80" t="s">
        <v>4</v>
      </c>
      <c r="B63" s="150" t="s">
        <v>38</v>
      </c>
      <c r="C63" s="151"/>
      <c r="D63" s="80" t="s">
        <v>11</v>
      </c>
      <c r="E63" s="229" t="s">
        <v>12</v>
      </c>
      <c r="F63" s="230"/>
      <c r="G63" s="46"/>
    </row>
    <row r="64" spans="1:7" s="52" customFormat="1" x14ac:dyDescent="0.3">
      <c r="A64" s="53" t="s">
        <v>15</v>
      </c>
      <c r="B64" s="54">
        <v>2</v>
      </c>
      <c r="C64" s="153" t="str">
        <f t="shared" ref="C64:C65" si="8" xml:space="preserve"> IF(B64="","",setValueToTime(B64))</f>
        <v>0h10min</v>
      </c>
      <c r="D64" s="166" t="s">
        <v>63</v>
      </c>
      <c r="E64" s="231"/>
      <c r="F64" s="232"/>
      <c r="G64" s="51"/>
    </row>
    <row r="65" spans="1:7" s="52" customFormat="1" x14ac:dyDescent="0.3">
      <c r="A65" s="53" t="s">
        <v>44</v>
      </c>
      <c r="B65" s="54">
        <v>1</v>
      </c>
      <c r="C65" s="153" t="str">
        <f t="shared" si="8"/>
        <v>0h5min</v>
      </c>
      <c r="D65" s="166" t="s">
        <v>77</v>
      </c>
      <c r="E65" s="233"/>
      <c r="F65" s="234"/>
      <c r="G65" s="51"/>
    </row>
    <row r="66" spans="1:7" s="52" customFormat="1" x14ac:dyDescent="0.3">
      <c r="A66" s="53" t="s">
        <v>43</v>
      </c>
      <c r="B66" s="54">
        <v>33</v>
      </c>
      <c r="C66" s="153" t="str">
        <f t="shared" ref="C66:C71" si="9" xml:space="preserve"> IF(B66="","",setValueToTime(B66))</f>
        <v>2h45min</v>
      </c>
      <c r="D66" s="166" t="s">
        <v>94</v>
      </c>
      <c r="E66" s="233"/>
      <c r="F66" s="234"/>
      <c r="G66" s="51"/>
    </row>
    <row r="67" spans="1:7" s="52" customFormat="1" x14ac:dyDescent="0.3">
      <c r="A67" s="53"/>
      <c r="B67" s="54"/>
      <c r="C67" s="153" t="str">
        <f t="shared" si="9"/>
        <v/>
      </c>
      <c r="D67" s="55"/>
      <c r="E67" s="233"/>
      <c r="F67" s="234"/>
      <c r="G67" s="51"/>
    </row>
    <row r="68" spans="1:7" s="52" customFormat="1" x14ac:dyDescent="0.3">
      <c r="A68" s="54"/>
      <c r="B68" s="54"/>
      <c r="C68" s="154" t="str">
        <f t="shared" si="9"/>
        <v/>
      </c>
      <c r="D68" s="55"/>
      <c r="E68" s="233"/>
      <c r="F68" s="234"/>
      <c r="G68" s="51"/>
    </row>
    <row r="69" spans="1:7" s="52" customFormat="1" x14ac:dyDescent="0.3">
      <c r="A69" s="54"/>
      <c r="B69" s="54"/>
      <c r="C69" s="154" t="str">
        <f t="shared" si="9"/>
        <v/>
      </c>
      <c r="D69" s="55"/>
      <c r="E69" s="233"/>
      <c r="F69" s="234"/>
      <c r="G69" s="51"/>
    </row>
    <row r="70" spans="1:7" s="52" customFormat="1" x14ac:dyDescent="0.3">
      <c r="A70" s="54"/>
      <c r="B70" s="54"/>
      <c r="C70" s="154" t="str">
        <f t="shared" si="9"/>
        <v/>
      </c>
      <c r="D70" s="55"/>
      <c r="E70" s="233"/>
      <c r="F70" s="234"/>
      <c r="G70" s="51"/>
    </row>
    <row r="71" spans="1:7" s="52" customFormat="1" ht="15" thickBot="1" x14ac:dyDescent="0.35">
      <c r="A71" s="56"/>
      <c r="B71" s="56"/>
      <c r="C71" s="155" t="str">
        <f t="shared" si="9"/>
        <v/>
      </c>
      <c r="D71" s="57"/>
      <c r="E71" s="235"/>
      <c r="F71" s="236"/>
      <c r="G71" s="51"/>
    </row>
    <row r="72" spans="1:7" s="52" customFormat="1" ht="15" thickBot="1" x14ac:dyDescent="0.35">
      <c r="A72" s="111" t="s">
        <v>27</v>
      </c>
      <c r="B72" s="84">
        <f>SUM(B64:B71)</f>
        <v>36</v>
      </c>
      <c r="C72" s="111" t="str">
        <f xml:space="preserve"> setValueToTime(B72)</f>
        <v>3h</v>
      </c>
      <c r="D72" s="120"/>
      <c r="E72" s="227"/>
      <c r="F72" s="228"/>
      <c r="G72" s="51"/>
    </row>
    <row r="73" spans="1:7" s="59" customFormat="1" ht="15" thickBot="1" x14ac:dyDescent="0.35">
      <c r="A73" s="79"/>
      <c r="B73" s="79"/>
      <c r="C73" s="79"/>
      <c r="D73" s="79"/>
      <c r="E73" s="79"/>
      <c r="F73" s="79"/>
      <c r="G73" s="58"/>
    </row>
    <row r="74" spans="1:7" s="47" customFormat="1" ht="30" customHeight="1" thickBot="1" x14ac:dyDescent="0.3">
      <c r="A74" s="81" t="s">
        <v>10</v>
      </c>
      <c r="B74" s="163">
        <v>21</v>
      </c>
      <c r="C74" s="163"/>
      <c r="D74" s="82" t="s">
        <v>13</v>
      </c>
      <c r="E74" s="94">
        <v>44701</v>
      </c>
      <c r="F74" s="126" t="s">
        <v>50</v>
      </c>
      <c r="G74" s="46"/>
    </row>
    <row r="75" spans="1:7" s="47" customFormat="1" ht="30" customHeight="1" thickBot="1" x14ac:dyDescent="0.3">
      <c r="A75" s="80" t="s">
        <v>4</v>
      </c>
      <c r="B75" s="150" t="s">
        <v>38</v>
      </c>
      <c r="C75" s="151"/>
      <c r="D75" s="80" t="s">
        <v>11</v>
      </c>
      <c r="E75" s="229" t="s">
        <v>12</v>
      </c>
      <c r="F75" s="230"/>
      <c r="G75" s="46"/>
    </row>
    <row r="76" spans="1:7" s="52" customFormat="1" x14ac:dyDescent="0.3">
      <c r="A76" s="53" t="s">
        <v>15</v>
      </c>
      <c r="B76" s="54">
        <v>4</v>
      </c>
      <c r="C76" s="153" t="str">
        <f t="shared" ref="C76:C79" si="10" xml:space="preserve"> IF(B76="","",setValueToTime(B76))</f>
        <v>0h20min</v>
      </c>
      <c r="D76" s="166" t="s">
        <v>63</v>
      </c>
      <c r="E76" s="231"/>
      <c r="F76" s="232"/>
      <c r="G76" s="51"/>
    </row>
    <row r="77" spans="1:7" s="52" customFormat="1" x14ac:dyDescent="0.3">
      <c r="A77" s="53" t="s">
        <v>44</v>
      </c>
      <c r="B77" s="54">
        <v>1</v>
      </c>
      <c r="C77" s="153" t="str">
        <f t="shared" si="10"/>
        <v>0h5min</v>
      </c>
      <c r="D77" s="166" t="s">
        <v>77</v>
      </c>
      <c r="E77" s="233"/>
      <c r="F77" s="234"/>
      <c r="G77" s="51"/>
    </row>
    <row r="78" spans="1:7" s="52" customFormat="1" x14ac:dyDescent="0.3">
      <c r="A78" s="53" t="s">
        <v>57</v>
      </c>
      <c r="B78" s="54">
        <v>27</v>
      </c>
      <c r="C78" s="153" t="str">
        <f t="shared" si="10"/>
        <v>2h15min</v>
      </c>
      <c r="D78" s="166" t="s">
        <v>93</v>
      </c>
      <c r="E78" s="233"/>
      <c r="F78" s="234"/>
      <c r="G78" s="51"/>
    </row>
    <row r="79" spans="1:7" s="52" customFormat="1" ht="27" x14ac:dyDescent="0.3">
      <c r="A79" s="53" t="s">
        <v>51</v>
      </c>
      <c r="B79" s="54">
        <v>4</v>
      </c>
      <c r="C79" s="153" t="str">
        <f t="shared" si="10"/>
        <v>0h20min</v>
      </c>
      <c r="D79" s="166" t="s">
        <v>76</v>
      </c>
      <c r="E79" s="233"/>
      <c r="F79" s="234"/>
      <c r="G79" s="51"/>
    </row>
    <row r="80" spans="1:7" s="52" customFormat="1" x14ac:dyDescent="0.3">
      <c r="A80" s="54"/>
      <c r="B80" s="54"/>
      <c r="C80" s="154" t="str">
        <f t="shared" ref="C80:C83" si="11" xml:space="preserve"> IF(B80="","",setValueToTime(B80))</f>
        <v/>
      </c>
      <c r="D80" s="55"/>
      <c r="E80" s="233"/>
      <c r="F80" s="234"/>
      <c r="G80" s="51"/>
    </row>
    <row r="81" spans="1:7" s="52" customFormat="1" x14ac:dyDescent="0.3">
      <c r="A81" s="54"/>
      <c r="B81" s="54"/>
      <c r="C81" s="154" t="str">
        <f t="shared" si="11"/>
        <v/>
      </c>
      <c r="D81" s="55"/>
      <c r="E81" s="233"/>
      <c r="F81" s="234"/>
      <c r="G81" s="51"/>
    </row>
    <row r="82" spans="1:7" s="52" customFormat="1" x14ac:dyDescent="0.3">
      <c r="A82" s="54"/>
      <c r="B82" s="54"/>
      <c r="C82" s="154" t="str">
        <f t="shared" si="11"/>
        <v/>
      </c>
      <c r="D82" s="55"/>
      <c r="E82" s="233"/>
      <c r="F82" s="234"/>
      <c r="G82" s="51"/>
    </row>
    <row r="83" spans="1:7" s="52" customFormat="1" ht="15" thickBot="1" x14ac:dyDescent="0.35">
      <c r="A83" s="56"/>
      <c r="B83" s="56"/>
      <c r="C83" s="155" t="str">
        <f t="shared" si="11"/>
        <v/>
      </c>
      <c r="D83" s="57"/>
      <c r="E83" s="235"/>
      <c r="F83" s="236"/>
      <c r="G83" s="51"/>
    </row>
    <row r="84" spans="1:7" s="52" customFormat="1" ht="15" thickBot="1" x14ac:dyDescent="0.35">
      <c r="A84" s="111" t="s">
        <v>27</v>
      </c>
      <c r="B84" s="84">
        <f>SUM(B76:B83)</f>
        <v>36</v>
      </c>
      <c r="C84" s="111" t="str">
        <f xml:space="preserve"> setValueToTime(B84)</f>
        <v>3h</v>
      </c>
      <c r="D84" s="120"/>
      <c r="E84" s="227"/>
      <c r="F84" s="228"/>
      <c r="G84" s="51"/>
    </row>
    <row r="85" spans="1:7" s="59" customFormat="1" ht="15" thickBot="1" x14ac:dyDescent="0.35">
      <c r="A85" s="79"/>
      <c r="B85" s="79"/>
      <c r="C85" s="79"/>
      <c r="D85" s="79"/>
      <c r="E85" s="79"/>
      <c r="F85" s="79"/>
      <c r="G85" s="58"/>
    </row>
    <row r="86" spans="1:7" s="47" customFormat="1" ht="30" customHeight="1" thickBot="1" x14ac:dyDescent="0.3">
      <c r="A86" s="81" t="s">
        <v>10</v>
      </c>
      <c r="B86" s="163">
        <v>20</v>
      </c>
      <c r="C86" s="163"/>
      <c r="D86" s="82" t="s">
        <v>13</v>
      </c>
      <c r="E86" s="94">
        <v>44701</v>
      </c>
      <c r="F86" s="126" t="s">
        <v>49</v>
      </c>
      <c r="G86" s="46"/>
    </row>
    <row r="87" spans="1:7" s="47" customFormat="1" ht="30" customHeight="1" thickBot="1" x14ac:dyDescent="0.3">
      <c r="A87" s="80" t="s">
        <v>4</v>
      </c>
      <c r="B87" s="150" t="s">
        <v>38</v>
      </c>
      <c r="C87" s="151"/>
      <c r="D87" s="80" t="s">
        <v>11</v>
      </c>
      <c r="E87" s="229" t="s">
        <v>12</v>
      </c>
      <c r="F87" s="230"/>
      <c r="G87" s="46"/>
    </row>
    <row r="88" spans="1:7" s="52" customFormat="1" x14ac:dyDescent="0.3">
      <c r="A88" s="167" t="s">
        <v>57</v>
      </c>
      <c r="B88" s="49">
        <v>36</v>
      </c>
      <c r="C88" s="152" t="str">
        <f xml:space="preserve"> IF(B88="","",setValueToTime(B88))</f>
        <v>3h</v>
      </c>
      <c r="D88" s="165" t="s">
        <v>93</v>
      </c>
      <c r="E88" s="231"/>
      <c r="F88" s="232"/>
      <c r="G88" s="51"/>
    </row>
    <row r="89" spans="1:7" s="52" customFormat="1" x14ac:dyDescent="0.3">
      <c r="A89" s="168"/>
      <c r="B89" s="54"/>
      <c r="C89" s="153" t="str">
        <f t="shared" ref="C89:C95" si="12" xml:space="preserve"> IF(B89="","",setValueToTime(B89))</f>
        <v/>
      </c>
      <c r="D89" s="166"/>
      <c r="E89" s="233"/>
      <c r="F89" s="234"/>
      <c r="G89" s="51"/>
    </row>
    <row r="90" spans="1:7" s="52" customFormat="1" x14ac:dyDescent="0.3">
      <c r="A90" s="53"/>
      <c r="B90" s="54"/>
      <c r="C90" s="153" t="str">
        <f t="shared" si="12"/>
        <v/>
      </c>
      <c r="D90" s="55"/>
      <c r="E90" s="233"/>
      <c r="F90" s="234"/>
      <c r="G90" s="51"/>
    </row>
    <row r="91" spans="1:7" s="52" customFormat="1" x14ac:dyDescent="0.3">
      <c r="A91" s="53"/>
      <c r="B91" s="54"/>
      <c r="C91" s="153" t="str">
        <f t="shared" si="12"/>
        <v/>
      </c>
      <c r="D91" s="55"/>
      <c r="E91" s="233"/>
      <c r="F91" s="234"/>
      <c r="G91" s="51"/>
    </row>
    <row r="92" spans="1:7" s="52" customFormat="1" x14ac:dyDescent="0.3">
      <c r="A92" s="54"/>
      <c r="B92" s="54"/>
      <c r="C92" s="154" t="str">
        <f t="shared" si="12"/>
        <v/>
      </c>
      <c r="D92" s="55"/>
      <c r="E92" s="233"/>
      <c r="F92" s="234"/>
      <c r="G92" s="51"/>
    </row>
    <row r="93" spans="1:7" s="52" customFormat="1" x14ac:dyDescent="0.3">
      <c r="A93" s="54"/>
      <c r="B93" s="54"/>
      <c r="C93" s="154" t="str">
        <f t="shared" si="12"/>
        <v/>
      </c>
      <c r="D93" s="55"/>
      <c r="E93" s="233"/>
      <c r="F93" s="234"/>
      <c r="G93" s="51"/>
    </row>
    <row r="94" spans="1:7" s="52" customFormat="1" x14ac:dyDescent="0.3">
      <c r="A94" s="54"/>
      <c r="B94" s="54"/>
      <c r="C94" s="154" t="str">
        <f t="shared" si="12"/>
        <v/>
      </c>
      <c r="D94" s="55"/>
      <c r="E94" s="233"/>
      <c r="F94" s="234"/>
      <c r="G94" s="51"/>
    </row>
    <row r="95" spans="1:7" s="52" customFormat="1" ht="15" thickBot="1" x14ac:dyDescent="0.35">
      <c r="A95" s="56"/>
      <c r="B95" s="56"/>
      <c r="C95" s="155" t="str">
        <f t="shared" si="12"/>
        <v/>
      </c>
      <c r="D95" s="57"/>
      <c r="E95" s="235"/>
      <c r="F95" s="236"/>
      <c r="G95" s="51"/>
    </row>
    <row r="96" spans="1:7" s="52" customFormat="1" ht="15" thickBot="1" x14ac:dyDescent="0.35">
      <c r="A96" s="111" t="s">
        <v>27</v>
      </c>
      <c r="B96" s="84">
        <f>SUM(B88:B95)</f>
        <v>36</v>
      </c>
      <c r="C96" s="111" t="str">
        <f xml:space="preserve"> setValueToTime(B96)</f>
        <v>3h</v>
      </c>
      <c r="D96" s="120"/>
      <c r="E96" s="227"/>
      <c r="F96" s="228"/>
      <c r="G96" s="51"/>
    </row>
    <row r="97" spans="1:7" s="59" customFormat="1" ht="15" thickBot="1" x14ac:dyDescent="0.35">
      <c r="A97" s="79"/>
      <c r="B97" s="79"/>
      <c r="C97" s="79"/>
      <c r="D97" s="79"/>
      <c r="E97" s="79"/>
      <c r="F97" s="79"/>
      <c r="G97" s="58"/>
    </row>
    <row r="98" spans="1:7" s="47" customFormat="1" ht="30" customHeight="1" thickBot="1" x14ac:dyDescent="0.3">
      <c r="A98" s="81" t="s">
        <v>10</v>
      </c>
      <c r="B98" s="163">
        <v>19</v>
      </c>
      <c r="C98" s="163"/>
      <c r="D98" s="82" t="s">
        <v>13</v>
      </c>
      <c r="E98" s="94">
        <v>44700</v>
      </c>
      <c r="F98" s="126" t="s">
        <v>50</v>
      </c>
      <c r="G98" s="46"/>
    </row>
    <row r="99" spans="1:7" s="47" customFormat="1" ht="30" customHeight="1" thickBot="1" x14ac:dyDescent="0.3">
      <c r="A99" s="80" t="s">
        <v>4</v>
      </c>
      <c r="B99" s="150" t="s">
        <v>38</v>
      </c>
      <c r="C99" s="151"/>
      <c r="D99" s="80" t="s">
        <v>11</v>
      </c>
      <c r="E99" s="229" t="s">
        <v>12</v>
      </c>
      <c r="F99" s="230"/>
      <c r="G99" s="46"/>
    </row>
    <row r="100" spans="1:7" s="52" customFormat="1" x14ac:dyDescent="0.3">
      <c r="A100" s="53" t="s">
        <v>15</v>
      </c>
      <c r="B100" s="54">
        <v>4</v>
      </c>
      <c r="C100" s="153" t="str">
        <f t="shared" ref="C100:C101" si="13" xml:space="preserve"> IF(B100="","",setValueToTime(B100))</f>
        <v>0h20min</v>
      </c>
      <c r="D100" s="166" t="s">
        <v>63</v>
      </c>
      <c r="E100" s="231"/>
      <c r="F100" s="232"/>
      <c r="G100" s="51"/>
    </row>
    <row r="101" spans="1:7" s="52" customFormat="1" x14ac:dyDescent="0.3">
      <c r="A101" s="53" t="s">
        <v>44</v>
      </c>
      <c r="B101" s="54">
        <v>1</v>
      </c>
      <c r="C101" s="153" t="str">
        <f t="shared" si="13"/>
        <v>0h5min</v>
      </c>
      <c r="D101" s="166" t="s">
        <v>77</v>
      </c>
      <c r="E101" s="233"/>
      <c r="F101" s="234"/>
      <c r="G101" s="51"/>
    </row>
    <row r="102" spans="1:7" s="52" customFormat="1" x14ac:dyDescent="0.3">
      <c r="A102" s="53" t="s">
        <v>57</v>
      </c>
      <c r="B102" s="54">
        <v>36</v>
      </c>
      <c r="C102" s="153" t="str">
        <f t="shared" ref="C102:C107" si="14" xml:space="preserve"> IF(B102="","",setValueToTime(B102))</f>
        <v>3h</v>
      </c>
      <c r="D102" s="166" t="s">
        <v>92</v>
      </c>
      <c r="E102" s="233"/>
      <c r="F102" s="234"/>
      <c r="G102" s="51"/>
    </row>
    <row r="103" spans="1:7" s="52" customFormat="1" ht="27" x14ac:dyDescent="0.3">
      <c r="A103" s="53" t="s">
        <v>51</v>
      </c>
      <c r="B103" s="54">
        <v>4</v>
      </c>
      <c r="C103" s="153" t="str">
        <f t="shared" si="14"/>
        <v>0h20min</v>
      </c>
      <c r="D103" s="166" t="s">
        <v>76</v>
      </c>
      <c r="E103" s="233"/>
      <c r="F103" s="234"/>
      <c r="G103" s="51"/>
    </row>
    <row r="104" spans="1:7" s="52" customFormat="1" x14ac:dyDescent="0.3">
      <c r="A104" s="54"/>
      <c r="B104" s="54"/>
      <c r="C104" s="154" t="str">
        <f t="shared" si="14"/>
        <v/>
      </c>
      <c r="D104" s="55"/>
      <c r="E104" s="233"/>
      <c r="F104" s="234"/>
      <c r="G104" s="51"/>
    </row>
    <row r="105" spans="1:7" s="52" customFormat="1" x14ac:dyDescent="0.3">
      <c r="A105" s="54"/>
      <c r="B105" s="54"/>
      <c r="C105" s="154" t="str">
        <f t="shared" si="14"/>
        <v/>
      </c>
      <c r="D105" s="55"/>
      <c r="E105" s="233"/>
      <c r="F105" s="234"/>
      <c r="G105" s="51"/>
    </row>
    <row r="106" spans="1:7" s="52" customFormat="1" x14ac:dyDescent="0.3">
      <c r="A106" s="54"/>
      <c r="B106" s="54"/>
      <c r="C106" s="154" t="str">
        <f t="shared" si="14"/>
        <v/>
      </c>
      <c r="D106" s="55"/>
      <c r="E106" s="233"/>
      <c r="F106" s="234"/>
      <c r="G106" s="51"/>
    </row>
    <row r="107" spans="1:7" s="52" customFormat="1" ht="15" thickBot="1" x14ac:dyDescent="0.35">
      <c r="A107" s="56"/>
      <c r="B107" s="56"/>
      <c r="C107" s="155" t="str">
        <f t="shared" si="14"/>
        <v/>
      </c>
      <c r="D107" s="57"/>
      <c r="E107" s="235"/>
      <c r="F107" s="236"/>
      <c r="G107" s="51"/>
    </row>
    <row r="108" spans="1:7" s="52" customFormat="1" ht="15" thickBot="1" x14ac:dyDescent="0.35">
      <c r="A108" s="111" t="s">
        <v>27</v>
      </c>
      <c r="B108" s="84">
        <f>SUM(B100:B107)</f>
        <v>45</v>
      </c>
      <c r="C108" s="111" t="str">
        <f xml:space="preserve"> setValueToTime(B108)</f>
        <v>3h45min</v>
      </c>
      <c r="D108" s="120"/>
      <c r="E108" s="227"/>
      <c r="F108" s="228"/>
      <c r="G108" s="51"/>
    </row>
    <row r="109" spans="1:7" s="59" customFormat="1" ht="15" thickBot="1" x14ac:dyDescent="0.35">
      <c r="A109" s="79"/>
      <c r="B109" s="79"/>
      <c r="C109" s="79"/>
      <c r="D109" s="79"/>
      <c r="E109" s="79"/>
      <c r="F109" s="79"/>
      <c r="G109" s="58"/>
    </row>
    <row r="110" spans="1:7" s="47" customFormat="1" ht="30" customHeight="1" thickBot="1" x14ac:dyDescent="0.3">
      <c r="A110" s="81" t="s">
        <v>10</v>
      </c>
      <c r="B110" s="163">
        <v>18</v>
      </c>
      <c r="C110" s="163"/>
      <c r="D110" s="82" t="s">
        <v>13</v>
      </c>
      <c r="E110" s="94">
        <v>44700</v>
      </c>
      <c r="F110" s="126" t="s">
        <v>49</v>
      </c>
      <c r="G110" s="46"/>
    </row>
    <row r="111" spans="1:7" s="47" customFormat="1" ht="30" customHeight="1" thickBot="1" x14ac:dyDescent="0.3">
      <c r="A111" s="80" t="s">
        <v>4</v>
      </c>
      <c r="B111" s="150" t="s">
        <v>38</v>
      </c>
      <c r="C111" s="151"/>
      <c r="D111" s="80" t="s">
        <v>11</v>
      </c>
      <c r="E111" s="229" t="s">
        <v>12</v>
      </c>
      <c r="F111" s="230"/>
      <c r="G111" s="46"/>
    </row>
    <row r="112" spans="1:7" s="52" customFormat="1" x14ac:dyDescent="0.3">
      <c r="A112" s="48" t="s">
        <v>73</v>
      </c>
      <c r="B112" s="49">
        <v>45</v>
      </c>
      <c r="C112" s="152" t="str">
        <f xml:space="preserve"> IF(B112="","",setValueToTime(B112))</f>
        <v>3h45min</v>
      </c>
      <c r="D112" s="165" t="s">
        <v>91</v>
      </c>
      <c r="E112" s="231"/>
      <c r="F112" s="232"/>
      <c r="G112" s="51"/>
    </row>
    <row r="113" spans="1:7" s="52" customFormat="1" x14ac:dyDescent="0.3">
      <c r="A113" s="53"/>
      <c r="B113" s="54"/>
      <c r="C113" s="153" t="str">
        <f t="shared" ref="C113" si="15" xml:space="preserve"> IF(B113="","",setValueToTime(B113))</f>
        <v/>
      </c>
      <c r="D113" s="166"/>
      <c r="E113" s="233"/>
      <c r="F113" s="234"/>
      <c r="G113" s="51"/>
    </row>
    <row r="114" spans="1:7" s="52" customFormat="1" x14ac:dyDescent="0.3">
      <c r="A114" s="53"/>
      <c r="B114" s="54"/>
      <c r="C114" s="153" t="str">
        <f t="shared" ref="C114:C119" si="16" xml:space="preserve"> IF(B114="","",setValueToTime(B114))</f>
        <v/>
      </c>
      <c r="D114" s="55"/>
      <c r="E114" s="233"/>
      <c r="F114" s="234"/>
      <c r="G114" s="51"/>
    </row>
    <row r="115" spans="1:7" s="52" customFormat="1" x14ac:dyDescent="0.3">
      <c r="A115" s="53"/>
      <c r="B115" s="54"/>
      <c r="C115" s="153" t="str">
        <f t="shared" si="16"/>
        <v/>
      </c>
      <c r="D115" s="55"/>
      <c r="E115" s="233"/>
      <c r="F115" s="234"/>
      <c r="G115" s="51"/>
    </row>
    <row r="116" spans="1:7" s="52" customFormat="1" x14ac:dyDescent="0.3">
      <c r="A116" s="54"/>
      <c r="B116" s="54"/>
      <c r="C116" s="154" t="str">
        <f t="shared" si="16"/>
        <v/>
      </c>
      <c r="D116" s="55"/>
      <c r="E116" s="233"/>
      <c r="F116" s="234"/>
      <c r="G116" s="51"/>
    </row>
    <row r="117" spans="1:7" s="52" customFormat="1" x14ac:dyDescent="0.3">
      <c r="A117" s="54"/>
      <c r="B117" s="54"/>
      <c r="C117" s="154" t="str">
        <f t="shared" si="16"/>
        <v/>
      </c>
      <c r="D117" s="55"/>
      <c r="E117" s="233"/>
      <c r="F117" s="234"/>
      <c r="G117" s="51"/>
    </row>
    <row r="118" spans="1:7" s="52" customFormat="1" x14ac:dyDescent="0.3">
      <c r="A118" s="54"/>
      <c r="B118" s="54"/>
      <c r="C118" s="154" t="str">
        <f t="shared" si="16"/>
        <v/>
      </c>
      <c r="D118" s="55"/>
      <c r="E118" s="233"/>
      <c r="F118" s="234"/>
      <c r="G118" s="51"/>
    </row>
    <row r="119" spans="1:7" s="52" customFormat="1" ht="15" thickBot="1" x14ac:dyDescent="0.35">
      <c r="A119" s="56"/>
      <c r="B119" s="56"/>
      <c r="C119" s="155" t="str">
        <f t="shared" si="16"/>
        <v/>
      </c>
      <c r="D119" s="57"/>
      <c r="E119" s="235"/>
      <c r="F119" s="236"/>
      <c r="G119" s="51"/>
    </row>
    <row r="120" spans="1:7" s="52" customFormat="1" ht="15" thickBot="1" x14ac:dyDescent="0.35">
      <c r="A120" s="111" t="s">
        <v>27</v>
      </c>
      <c r="B120" s="84">
        <f>SUM(B112:B119)</f>
        <v>45</v>
      </c>
      <c r="C120" s="111" t="str">
        <f xml:space="preserve"> setValueToTime(B120)</f>
        <v>3h45min</v>
      </c>
      <c r="D120" s="120"/>
      <c r="E120" s="227"/>
      <c r="F120" s="228"/>
      <c r="G120" s="51"/>
    </row>
    <row r="121" spans="1:7" s="59" customFormat="1" ht="15" thickBot="1" x14ac:dyDescent="0.35">
      <c r="A121" s="79"/>
      <c r="B121" s="79"/>
      <c r="C121" s="79"/>
      <c r="D121" s="79"/>
      <c r="E121" s="79"/>
      <c r="F121" s="79"/>
      <c r="G121" s="58"/>
    </row>
    <row r="122" spans="1:7" s="47" customFormat="1" ht="30" customHeight="1" thickBot="1" x14ac:dyDescent="0.3">
      <c r="A122" s="81" t="s">
        <v>10</v>
      </c>
      <c r="B122" s="163">
        <v>17</v>
      </c>
      <c r="C122" s="163"/>
      <c r="D122" s="82" t="s">
        <v>13</v>
      </c>
      <c r="E122" s="94">
        <v>44699</v>
      </c>
      <c r="F122" s="126" t="s">
        <v>50</v>
      </c>
      <c r="G122" s="46"/>
    </row>
    <row r="123" spans="1:7" s="47" customFormat="1" ht="30" customHeight="1" thickBot="1" x14ac:dyDescent="0.3">
      <c r="A123" s="80" t="s">
        <v>4</v>
      </c>
      <c r="B123" s="150" t="s">
        <v>38</v>
      </c>
      <c r="C123" s="151"/>
      <c r="D123" s="80" t="s">
        <v>11</v>
      </c>
      <c r="E123" s="229" t="s">
        <v>12</v>
      </c>
      <c r="F123" s="230"/>
      <c r="G123" s="46"/>
    </row>
    <row r="124" spans="1:7" s="52" customFormat="1" x14ac:dyDescent="0.3">
      <c r="A124" s="53" t="s">
        <v>15</v>
      </c>
      <c r="B124" s="54">
        <v>4</v>
      </c>
      <c r="C124" s="153" t="str">
        <f t="shared" ref="C124:C129" si="17" xml:space="preserve"> IF(B124="","",setValueToTime(B124))</f>
        <v>0h20min</v>
      </c>
      <c r="D124" s="166" t="s">
        <v>63</v>
      </c>
      <c r="E124" s="231"/>
      <c r="F124" s="232"/>
      <c r="G124" s="51"/>
    </row>
    <row r="125" spans="1:7" s="52" customFormat="1" x14ac:dyDescent="0.3">
      <c r="A125" s="53" t="s">
        <v>44</v>
      </c>
      <c r="B125" s="54">
        <v>1</v>
      </c>
      <c r="C125" s="153" t="str">
        <f t="shared" si="17"/>
        <v>0h5min</v>
      </c>
      <c r="D125" s="166" t="s">
        <v>77</v>
      </c>
      <c r="E125" s="233"/>
      <c r="F125" s="234"/>
      <c r="G125" s="51"/>
    </row>
    <row r="126" spans="1:7" s="52" customFormat="1" x14ac:dyDescent="0.3">
      <c r="A126" s="53" t="s">
        <v>56</v>
      </c>
      <c r="B126" s="54">
        <v>12</v>
      </c>
      <c r="C126" s="153" t="str">
        <f t="shared" si="17"/>
        <v>1h</v>
      </c>
      <c r="D126" s="166" t="s">
        <v>88</v>
      </c>
      <c r="E126" s="233"/>
      <c r="F126" s="234"/>
      <c r="G126" s="51"/>
    </row>
    <row r="127" spans="1:7" s="52" customFormat="1" x14ac:dyDescent="0.3">
      <c r="A127" s="53" t="s">
        <v>43</v>
      </c>
      <c r="B127" s="54">
        <v>10</v>
      </c>
      <c r="C127" s="153" t="str">
        <f t="shared" si="17"/>
        <v>0h50min</v>
      </c>
      <c r="D127" s="166" t="s">
        <v>89</v>
      </c>
      <c r="E127" s="233"/>
      <c r="F127" s="234"/>
      <c r="G127" s="51"/>
    </row>
    <row r="128" spans="1:7" s="52" customFormat="1" x14ac:dyDescent="0.3">
      <c r="A128" s="54" t="s">
        <v>14</v>
      </c>
      <c r="B128" s="54">
        <v>5</v>
      </c>
      <c r="C128" s="154" t="str">
        <f t="shared" si="17"/>
        <v>0h25min</v>
      </c>
      <c r="D128" s="166" t="s">
        <v>87</v>
      </c>
      <c r="E128" s="233"/>
      <c r="F128" s="234"/>
      <c r="G128" s="51"/>
    </row>
    <row r="129" spans="1:7" s="52" customFormat="1" ht="27" x14ac:dyDescent="0.3">
      <c r="A129" s="54" t="s">
        <v>51</v>
      </c>
      <c r="B129" s="54">
        <v>4</v>
      </c>
      <c r="C129" s="154" t="str">
        <f t="shared" si="17"/>
        <v>0h20min</v>
      </c>
      <c r="D129" s="166" t="s">
        <v>76</v>
      </c>
      <c r="E129" s="233"/>
      <c r="F129" s="234"/>
      <c r="G129" s="51"/>
    </row>
    <row r="130" spans="1:7" s="52" customFormat="1" x14ac:dyDescent="0.3">
      <c r="A130" s="54"/>
      <c r="B130" s="54"/>
      <c r="C130" s="154" t="str">
        <f t="shared" ref="C130:C131" si="18" xml:space="preserve"> IF(B130="","",setValueToTime(B130))</f>
        <v/>
      </c>
      <c r="D130" s="55"/>
      <c r="E130" s="233"/>
      <c r="F130" s="234"/>
      <c r="G130" s="51"/>
    </row>
    <row r="131" spans="1:7" s="52" customFormat="1" ht="15" thickBot="1" x14ac:dyDescent="0.35">
      <c r="A131" s="56"/>
      <c r="B131" s="56"/>
      <c r="C131" s="155" t="str">
        <f t="shared" si="18"/>
        <v/>
      </c>
      <c r="D131" s="57"/>
      <c r="E131" s="235"/>
      <c r="F131" s="236"/>
      <c r="G131" s="51"/>
    </row>
    <row r="132" spans="1:7" s="52" customFormat="1" ht="15" thickBot="1" x14ac:dyDescent="0.35">
      <c r="A132" s="111" t="s">
        <v>27</v>
      </c>
      <c r="B132" s="84">
        <f>SUM(B124:B131)</f>
        <v>36</v>
      </c>
      <c r="C132" s="111" t="str">
        <f xml:space="preserve"> setValueToTime(B132)</f>
        <v>3h</v>
      </c>
      <c r="D132" s="120"/>
      <c r="E132" s="227"/>
      <c r="F132" s="228"/>
      <c r="G132" s="51"/>
    </row>
    <row r="133" spans="1:7" s="59" customFormat="1" ht="15" thickBot="1" x14ac:dyDescent="0.35">
      <c r="A133" s="79"/>
      <c r="B133" s="79"/>
      <c r="C133" s="79"/>
      <c r="D133" s="79"/>
      <c r="E133" s="79"/>
      <c r="F133" s="79"/>
      <c r="G133" s="58"/>
    </row>
    <row r="134" spans="1:7" s="47" customFormat="1" ht="30" customHeight="1" thickBot="1" x14ac:dyDescent="0.3">
      <c r="A134" s="81" t="s">
        <v>10</v>
      </c>
      <c r="B134" s="163">
        <v>16</v>
      </c>
      <c r="C134" s="163"/>
      <c r="D134" s="82" t="s">
        <v>13</v>
      </c>
      <c r="E134" s="94">
        <v>44699</v>
      </c>
      <c r="F134" s="126" t="s">
        <v>49</v>
      </c>
      <c r="G134" s="46"/>
    </row>
    <row r="135" spans="1:7" s="47" customFormat="1" ht="30" customHeight="1" thickBot="1" x14ac:dyDescent="0.3">
      <c r="A135" s="80" t="s">
        <v>4</v>
      </c>
      <c r="B135" s="150" t="s">
        <v>38</v>
      </c>
      <c r="C135" s="151"/>
      <c r="D135" s="80" t="s">
        <v>11</v>
      </c>
      <c r="E135" s="229" t="s">
        <v>12</v>
      </c>
      <c r="F135" s="230"/>
      <c r="G135" s="46"/>
    </row>
    <row r="136" spans="1:7" s="52" customFormat="1" x14ac:dyDescent="0.3">
      <c r="A136" s="48" t="s">
        <v>56</v>
      </c>
      <c r="B136" s="49">
        <v>35</v>
      </c>
      <c r="C136" s="152" t="str">
        <f xml:space="preserve"> IF(B136="","",setValueToTime(B136))</f>
        <v>2h55min</v>
      </c>
      <c r="D136" s="165" t="s">
        <v>85</v>
      </c>
      <c r="E136" s="231"/>
      <c r="F136" s="232"/>
      <c r="G136" s="51"/>
    </row>
    <row r="137" spans="1:7" s="52" customFormat="1" x14ac:dyDescent="0.3">
      <c r="A137" s="53" t="s">
        <v>43</v>
      </c>
      <c r="B137" s="54">
        <v>10</v>
      </c>
      <c r="C137" s="153" t="str">
        <f t="shared" ref="C137" si="19" xml:space="preserve"> IF(B137="","",setValueToTime(B137))</f>
        <v>0h50min</v>
      </c>
      <c r="D137" s="166" t="s">
        <v>86</v>
      </c>
      <c r="E137" s="233"/>
      <c r="F137" s="234"/>
      <c r="G137" s="51"/>
    </row>
    <row r="138" spans="1:7" s="52" customFormat="1" x14ac:dyDescent="0.3">
      <c r="A138" s="53"/>
      <c r="B138" s="54"/>
      <c r="C138" s="153" t="str">
        <f t="shared" ref="C138:C143" si="20" xml:space="preserve"> IF(B138="","",setValueToTime(B138))</f>
        <v/>
      </c>
      <c r="D138" s="55"/>
      <c r="E138" s="233"/>
      <c r="F138" s="234"/>
      <c r="G138" s="51"/>
    </row>
    <row r="139" spans="1:7" s="52" customFormat="1" x14ac:dyDescent="0.3">
      <c r="A139" s="53"/>
      <c r="B139" s="54"/>
      <c r="C139" s="153" t="str">
        <f t="shared" si="20"/>
        <v/>
      </c>
      <c r="D139" s="55"/>
      <c r="E139" s="233"/>
      <c r="F139" s="234"/>
      <c r="G139" s="51"/>
    </row>
    <row r="140" spans="1:7" s="52" customFormat="1" x14ac:dyDescent="0.3">
      <c r="A140" s="54"/>
      <c r="B140" s="54"/>
      <c r="C140" s="154" t="str">
        <f t="shared" si="20"/>
        <v/>
      </c>
      <c r="D140" s="55"/>
      <c r="E140" s="233"/>
      <c r="F140" s="234"/>
      <c r="G140" s="51"/>
    </row>
    <row r="141" spans="1:7" s="52" customFormat="1" x14ac:dyDescent="0.3">
      <c r="A141" s="54"/>
      <c r="B141" s="54"/>
      <c r="C141" s="154" t="str">
        <f t="shared" si="20"/>
        <v/>
      </c>
      <c r="D141" s="55"/>
      <c r="E141" s="233"/>
      <c r="F141" s="234"/>
      <c r="G141" s="51"/>
    </row>
    <row r="142" spans="1:7" s="52" customFormat="1" x14ac:dyDescent="0.3">
      <c r="A142" s="54"/>
      <c r="B142" s="54"/>
      <c r="C142" s="154" t="str">
        <f t="shared" si="20"/>
        <v/>
      </c>
      <c r="D142" s="55"/>
      <c r="E142" s="233"/>
      <c r="F142" s="234"/>
      <c r="G142" s="51"/>
    </row>
    <row r="143" spans="1:7" s="52" customFormat="1" ht="15" thickBot="1" x14ac:dyDescent="0.35">
      <c r="A143" s="56"/>
      <c r="B143" s="56"/>
      <c r="C143" s="155" t="str">
        <f t="shared" si="20"/>
        <v/>
      </c>
      <c r="D143" s="57"/>
      <c r="E143" s="235"/>
      <c r="F143" s="236"/>
      <c r="G143" s="51"/>
    </row>
    <row r="144" spans="1:7" s="52" customFormat="1" ht="15" thickBot="1" x14ac:dyDescent="0.35">
      <c r="A144" s="111" t="s">
        <v>27</v>
      </c>
      <c r="B144" s="84">
        <f>SUM(B136:B143)</f>
        <v>45</v>
      </c>
      <c r="C144" s="111" t="str">
        <f xml:space="preserve"> setValueToTime(B144)</f>
        <v>3h45min</v>
      </c>
      <c r="D144" s="120"/>
      <c r="E144" s="227"/>
      <c r="F144" s="228"/>
      <c r="G144" s="51"/>
    </row>
    <row r="145" spans="1:7" s="59" customFormat="1" ht="15" thickBot="1" x14ac:dyDescent="0.35">
      <c r="A145" s="79"/>
      <c r="B145" s="79"/>
      <c r="C145" s="79"/>
      <c r="D145" s="79"/>
      <c r="E145" s="79"/>
      <c r="F145" s="79"/>
      <c r="G145" s="58"/>
    </row>
    <row r="146" spans="1:7" s="47" customFormat="1" ht="30" customHeight="1" thickBot="1" x14ac:dyDescent="0.3">
      <c r="A146" s="81" t="s">
        <v>10</v>
      </c>
      <c r="B146" s="163">
        <v>15</v>
      </c>
      <c r="C146" s="163"/>
      <c r="D146" s="82" t="s">
        <v>13</v>
      </c>
      <c r="E146" s="94">
        <v>44697</v>
      </c>
      <c r="F146" s="126" t="s">
        <v>49</v>
      </c>
      <c r="G146" s="46"/>
    </row>
    <row r="147" spans="1:7" s="47" customFormat="1" ht="30" customHeight="1" thickBot="1" x14ac:dyDescent="0.3">
      <c r="A147" s="80" t="s">
        <v>4</v>
      </c>
      <c r="B147" s="150" t="s">
        <v>38</v>
      </c>
      <c r="C147" s="151"/>
      <c r="D147" s="80" t="s">
        <v>11</v>
      </c>
      <c r="E147" s="229" t="s">
        <v>12</v>
      </c>
      <c r="F147" s="230"/>
      <c r="G147" s="46"/>
    </row>
    <row r="148" spans="1:7" s="52" customFormat="1" x14ac:dyDescent="0.3">
      <c r="A148" s="53" t="s">
        <v>15</v>
      </c>
      <c r="B148" s="54">
        <v>2</v>
      </c>
      <c r="C148" s="153" t="str">
        <f t="shared" ref="C148:C149" si="21" xml:space="preserve"> IF(B148="","",setValueToTime(B148))</f>
        <v>0h10min</v>
      </c>
      <c r="D148" s="166" t="s">
        <v>63</v>
      </c>
      <c r="E148" s="231"/>
      <c r="F148" s="232"/>
      <c r="G148" s="51"/>
    </row>
    <row r="149" spans="1:7" s="52" customFormat="1" x14ac:dyDescent="0.3">
      <c r="A149" s="53" t="s">
        <v>44</v>
      </c>
      <c r="B149" s="54">
        <v>1</v>
      </c>
      <c r="C149" s="153" t="str">
        <f t="shared" si="21"/>
        <v>0h5min</v>
      </c>
      <c r="D149" s="166" t="s">
        <v>77</v>
      </c>
      <c r="E149" s="233"/>
      <c r="F149" s="234"/>
      <c r="G149" s="51"/>
    </row>
    <row r="150" spans="1:7" s="52" customFormat="1" x14ac:dyDescent="0.3">
      <c r="A150" s="53" t="s">
        <v>56</v>
      </c>
      <c r="B150" s="54">
        <v>23</v>
      </c>
      <c r="C150" s="153" t="str">
        <f t="shared" ref="C150:C155" si="22" xml:space="preserve"> IF(B150="","",setValueToTime(B150))</f>
        <v>1h55min</v>
      </c>
      <c r="D150" s="166" t="s">
        <v>85</v>
      </c>
      <c r="E150" s="233"/>
      <c r="F150" s="234"/>
      <c r="G150" s="51"/>
    </row>
    <row r="151" spans="1:7" s="52" customFormat="1" x14ac:dyDescent="0.3">
      <c r="A151" s="53" t="s">
        <v>43</v>
      </c>
      <c r="B151" s="54">
        <v>10</v>
      </c>
      <c r="C151" s="153" t="str">
        <f t="shared" si="22"/>
        <v>0h50min</v>
      </c>
      <c r="D151" s="166" t="s">
        <v>86</v>
      </c>
      <c r="E151" s="233"/>
      <c r="F151" s="234"/>
      <c r="G151" s="51"/>
    </row>
    <row r="152" spans="1:7" s="52" customFormat="1" x14ac:dyDescent="0.3">
      <c r="A152" s="54"/>
      <c r="B152" s="54"/>
      <c r="C152" s="154" t="str">
        <f t="shared" si="22"/>
        <v/>
      </c>
      <c r="D152" s="55"/>
      <c r="E152" s="233"/>
      <c r="F152" s="234"/>
      <c r="G152" s="51"/>
    </row>
    <row r="153" spans="1:7" s="52" customFormat="1" x14ac:dyDescent="0.3">
      <c r="A153" s="54"/>
      <c r="B153" s="54"/>
      <c r="C153" s="154" t="str">
        <f t="shared" si="22"/>
        <v/>
      </c>
      <c r="D153" s="55"/>
      <c r="E153" s="233"/>
      <c r="F153" s="234"/>
      <c r="G153" s="51"/>
    </row>
    <row r="154" spans="1:7" s="52" customFormat="1" x14ac:dyDescent="0.3">
      <c r="A154" s="54"/>
      <c r="B154" s="54"/>
      <c r="C154" s="154" t="str">
        <f t="shared" si="22"/>
        <v/>
      </c>
      <c r="D154" s="55"/>
      <c r="E154" s="233"/>
      <c r="F154" s="234"/>
      <c r="G154" s="51"/>
    </row>
    <row r="155" spans="1:7" s="52" customFormat="1" ht="15" thickBot="1" x14ac:dyDescent="0.35">
      <c r="A155" s="56"/>
      <c r="B155" s="56"/>
      <c r="C155" s="155" t="str">
        <f t="shared" si="22"/>
        <v/>
      </c>
      <c r="D155" s="57"/>
      <c r="E155" s="235"/>
      <c r="F155" s="236"/>
      <c r="G155" s="51"/>
    </row>
    <row r="156" spans="1:7" s="52" customFormat="1" ht="15" thickBot="1" x14ac:dyDescent="0.35">
      <c r="A156" s="111" t="s">
        <v>27</v>
      </c>
      <c r="B156" s="84">
        <f>SUM(B148:B155)</f>
        <v>36</v>
      </c>
      <c r="C156" s="111" t="str">
        <f xml:space="preserve"> setValueToTime(B156)</f>
        <v>3h</v>
      </c>
      <c r="D156" s="120"/>
      <c r="E156" s="227"/>
      <c r="F156" s="228"/>
      <c r="G156" s="51"/>
    </row>
    <row r="157" spans="1:7" s="59" customFormat="1" ht="15" thickBot="1" x14ac:dyDescent="0.35">
      <c r="A157" s="79"/>
      <c r="B157" s="79"/>
      <c r="C157" s="79"/>
      <c r="D157" s="79"/>
      <c r="E157" s="79"/>
      <c r="F157" s="79"/>
      <c r="G157" s="58"/>
    </row>
    <row r="158" spans="1:7" s="47" customFormat="1" ht="30" customHeight="1" thickBot="1" x14ac:dyDescent="0.3">
      <c r="A158" s="81" t="s">
        <v>10</v>
      </c>
      <c r="B158" s="163">
        <v>14</v>
      </c>
      <c r="C158" s="163"/>
      <c r="D158" s="82" t="s">
        <v>13</v>
      </c>
      <c r="E158" s="94">
        <v>44694</v>
      </c>
      <c r="F158" s="126" t="s">
        <v>50</v>
      </c>
      <c r="G158" s="46"/>
    </row>
    <row r="159" spans="1:7" s="47" customFormat="1" ht="30" customHeight="1" thickBot="1" x14ac:dyDescent="0.3">
      <c r="A159" s="80" t="s">
        <v>4</v>
      </c>
      <c r="B159" s="150" t="s">
        <v>38</v>
      </c>
      <c r="C159" s="151"/>
      <c r="D159" s="80" t="s">
        <v>11</v>
      </c>
      <c r="E159" s="229" t="s">
        <v>12</v>
      </c>
      <c r="F159" s="230"/>
      <c r="G159" s="46"/>
    </row>
    <row r="160" spans="1:7" s="52" customFormat="1" x14ac:dyDescent="0.3">
      <c r="A160" s="53" t="s">
        <v>15</v>
      </c>
      <c r="B160" s="54">
        <v>4</v>
      </c>
      <c r="C160" s="153" t="str">
        <f t="shared" ref="C160:C165" si="23" xml:space="preserve"> IF(B160="","",setValueToTime(B160))</f>
        <v>0h20min</v>
      </c>
      <c r="D160" s="166" t="s">
        <v>63</v>
      </c>
      <c r="E160" s="231"/>
      <c r="F160" s="232"/>
      <c r="G160" s="51"/>
    </row>
    <row r="161" spans="1:7" s="52" customFormat="1" x14ac:dyDescent="0.3">
      <c r="A161" s="53" t="s">
        <v>44</v>
      </c>
      <c r="B161" s="54">
        <v>1</v>
      </c>
      <c r="C161" s="153" t="str">
        <f t="shared" si="23"/>
        <v>0h5min</v>
      </c>
      <c r="D161" s="166" t="s">
        <v>77</v>
      </c>
      <c r="E161" s="233"/>
      <c r="F161" s="234"/>
      <c r="G161" s="51"/>
    </row>
    <row r="162" spans="1:7" s="52" customFormat="1" x14ac:dyDescent="0.3">
      <c r="A162" s="53" t="s">
        <v>56</v>
      </c>
      <c r="B162" s="54">
        <v>12</v>
      </c>
      <c r="C162" s="153" t="str">
        <f t="shared" si="23"/>
        <v>1h</v>
      </c>
      <c r="D162" s="166" t="s">
        <v>85</v>
      </c>
      <c r="E162" s="233"/>
      <c r="F162" s="234"/>
      <c r="G162" s="51"/>
    </row>
    <row r="163" spans="1:7" s="52" customFormat="1" x14ac:dyDescent="0.3">
      <c r="A163" s="53" t="s">
        <v>43</v>
      </c>
      <c r="B163" s="54">
        <v>10</v>
      </c>
      <c r="C163" s="153" t="str">
        <f t="shared" si="23"/>
        <v>0h50min</v>
      </c>
      <c r="D163" s="166" t="s">
        <v>86</v>
      </c>
      <c r="E163" s="233"/>
      <c r="F163" s="234"/>
      <c r="G163" s="51"/>
    </row>
    <row r="164" spans="1:7" s="52" customFormat="1" x14ac:dyDescent="0.3">
      <c r="A164" s="54" t="s">
        <v>14</v>
      </c>
      <c r="B164" s="54">
        <v>5</v>
      </c>
      <c r="C164" s="154" t="str">
        <f t="shared" si="23"/>
        <v>0h25min</v>
      </c>
      <c r="D164" s="166" t="s">
        <v>87</v>
      </c>
      <c r="E164" s="233"/>
      <c r="F164" s="234"/>
      <c r="G164" s="51"/>
    </row>
    <row r="165" spans="1:7" s="52" customFormat="1" ht="27" x14ac:dyDescent="0.3">
      <c r="A165" s="54" t="s">
        <v>51</v>
      </c>
      <c r="B165" s="54">
        <v>4</v>
      </c>
      <c r="C165" s="154" t="str">
        <f t="shared" si="23"/>
        <v>0h20min</v>
      </c>
      <c r="D165" s="166" t="s">
        <v>76</v>
      </c>
      <c r="E165" s="233"/>
      <c r="F165" s="234"/>
      <c r="G165" s="51"/>
    </row>
    <row r="166" spans="1:7" s="52" customFormat="1" x14ac:dyDescent="0.3">
      <c r="A166" s="54"/>
      <c r="B166" s="54"/>
      <c r="C166" s="154" t="str">
        <f t="shared" ref="C166:C167" si="24" xml:space="preserve"> IF(B166="","",setValueToTime(B166))</f>
        <v/>
      </c>
      <c r="D166" s="55"/>
      <c r="E166" s="233"/>
      <c r="F166" s="234"/>
      <c r="G166" s="51"/>
    </row>
    <row r="167" spans="1:7" s="52" customFormat="1" ht="15" thickBot="1" x14ac:dyDescent="0.35">
      <c r="A167" s="56"/>
      <c r="B167" s="56"/>
      <c r="C167" s="155" t="str">
        <f t="shared" si="24"/>
        <v/>
      </c>
      <c r="D167" s="57"/>
      <c r="E167" s="235"/>
      <c r="F167" s="236"/>
      <c r="G167" s="51"/>
    </row>
    <row r="168" spans="1:7" s="52" customFormat="1" ht="15" thickBot="1" x14ac:dyDescent="0.35">
      <c r="A168" s="111" t="s">
        <v>27</v>
      </c>
      <c r="B168" s="84">
        <f>SUM(B160:B167)</f>
        <v>36</v>
      </c>
      <c r="C168" s="111" t="str">
        <f xml:space="preserve"> setValueToTime(B168)</f>
        <v>3h</v>
      </c>
      <c r="D168" s="120"/>
      <c r="E168" s="227"/>
      <c r="F168" s="228"/>
      <c r="G168" s="51"/>
    </row>
    <row r="169" spans="1:7" s="59" customFormat="1" ht="15" thickBot="1" x14ac:dyDescent="0.35">
      <c r="A169" s="79"/>
      <c r="B169" s="79"/>
      <c r="C169" s="79"/>
      <c r="D169" s="79"/>
      <c r="E169" s="79"/>
      <c r="F169" s="79"/>
      <c r="G169" s="58"/>
    </row>
    <row r="170" spans="1:7" s="47" customFormat="1" ht="30" customHeight="1" thickBot="1" x14ac:dyDescent="0.3">
      <c r="A170" s="81" t="s">
        <v>10</v>
      </c>
      <c r="B170" s="163">
        <v>13</v>
      </c>
      <c r="C170" s="163"/>
      <c r="D170" s="82" t="s">
        <v>13</v>
      </c>
      <c r="E170" s="94">
        <v>44694</v>
      </c>
      <c r="F170" s="126" t="s">
        <v>49</v>
      </c>
      <c r="G170" s="46"/>
    </row>
    <row r="171" spans="1:7" s="47" customFormat="1" ht="30" customHeight="1" thickBot="1" x14ac:dyDescent="0.3">
      <c r="A171" s="80" t="s">
        <v>4</v>
      </c>
      <c r="B171" s="150" t="s">
        <v>38</v>
      </c>
      <c r="C171" s="151"/>
      <c r="D171" s="80" t="s">
        <v>11</v>
      </c>
      <c r="E171" s="229" t="s">
        <v>12</v>
      </c>
      <c r="F171" s="230"/>
      <c r="G171" s="46"/>
    </row>
    <row r="172" spans="1:7" s="52" customFormat="1" x14ac:dyDescent="0.3">
      <c r="A172" s="48" t="s">
        <v>56</v>
      </c>
      <c r="B172" s="49">
        <v>26</v>
      </c>
      <c r="C172" s="152" t="str">
        <f xml:space="preserve"> IF(B172="","",setValueToTime(B172))</f>
        <v>2h10min</v>
      </c>
      <c r="D172" s="165" t="s">
        <v>85</v>
      </c>
      <c r="E172" s="231"/>
      <c r="F172" s="232"/>
      <c r="G172" s="51"/>
    </row>
    <row r="173" spans="1:7" s="52" customFormat="1" x14ac:dyDescent="0.3">
      <c r="A173" s="53" t="s">
        <v>43</v>
      </c>
      <c r="B173" s="54">
        <v>10</v>
      </c>
      <c r="C173" s="153" t="str">
        <f t="shared" ref="C173:C179" si="25" xml:space="preserve"> IF(B173="","",setValueToTime(B173))</f>
        <v>0h50min</v>
      </c>
      <c r="D173" s="166" t="s">
        <v>86</v>
      </c>
      <c r="E173" s="233"/>
      <c r="F173" s="234"/>
      <c r="G173" s="51"/>
    </row>
    <row r="174" spans="1:7" s="52" customFormat="1" x14ac:dyDescent="0.3">
      <c r="A174" s="53"/>
      <c r="B174" s="54"/>
      <c r="C174" s="153" t="str">
        <f t="shared" si="25"/>
        <v/>
      </c>
      <c r="D174" s="55"/>
      <c r="E174" s="233"/>
      <c r="F174" s="234"/>
      <c r="G174" s="51"/>
    </row>
    <row r="175" spans="1:7" s="52" customFormat="1" x14ac:dyDescent="0.3">
      <c r="A175" s="53"/>
      <c r="B175" s="54"/>
      <c r="C175" s="153" t="str">
        <f t="shared" si="25"/>
        <v/>
      </c>
      <c r="D175" s="55"/>
      <c r="E175" s="233"/>
      <c r="F175" s="234"/>
      <c r="G175" s="51"/>
    </row>
    <row r="176" spans="1:7" s="52" customFormat="1" x14ac:dyDescent="0.3">
      <c r="A176" s="54"/>
      <c r="B176" s="54"/>
      <c r="C176" s="154" t="str">
        <f t="shared" si="25"/>
        <v/>
      </c>
      <c r="D176" s="55"/>
      <c r="E176" s="233"/>
      <c r="F176" s="234"/>
      <c r="G176" s="51"/>
    </row>
    <row r="177" spans="1:7" s="52" customFormat="1" x14ac:dyDescent="0.3">
      <c r="A177" s="54"/>
      <c r="B177" s="54"/>
      <c r="C177" s="154" t="str">
        <f t="shared" si="25"/>
        <v/>
      </c>
      <c r="D177" s="55"/>
      <c r="E177" s="233"/>
      <c r="F177" s="234"/>
      <c r="G177" s="51"/>
    </row>
    <row r="178" spans="1:7" s="52" customFormat="1" x14ac:dyDescent="0.3">
      <c r="A178" s="54"/>
      <c r="B178" s="54"/>
      <c r="C178" s="154" t="str">
        <f t="shared" si="25"/>
        <v/>
      </c>
      <c r="D178" s="55"/>
      <c r="E178" s="233"/>
      <c r="F178" s="234"/>
      <c r="G178" s="51"/>
    </row>
    <row r="179" spans="1:7" s="52" customFormat="1" ht="15" thickBot="1" x14ac:dyDescent="0.35">
      <c r="A179" s="56"/>
      <c r="B179" s="56"/>
      <c r="C179" s="155" t="str">
        <f t="shared" si="25"/>
        <v/>
      </c>
      <c r="D179" s="57"/>
      <c r="E179" s="235"/>
      <c r="F179" s="236"/>
      <c r="G179" s="51"/>
    </row>
    <row r="180" spans="1:7" s="52" customFormat="1" ht="15" thickBot="1" x14ac:dyDescent="0.35">
      <c r="A180" s="111" t="s">
        <v>27</v>
      </c>
      <c r="B180" s="84">
        <f>SUM(B172:B179)</f>
        <v>36</v>
      </c>
      <c r="C180" s="111" t="str">
        <f xml:space="preserve"> setValueToTime(B180)</f>
        <v>3h</v>
      </c>
      <c r="D180" s="120"/>
      <c r="E180" s="227"/>
      <c r="F180" s="228"/>
      <c r="G180" s="51"/>
    </row>
    <row r="181" spans="1:7" s="59" customFormat="1" ht="15" thickBot="1" x14ac:dyDescent="0.35">
      <c r="A181" s="79"/>
      <c r="B181" s="79"/>
      <c r="C181" s="79"/>
      <c r="D181" s="79"/>
      <c r="E181" s="79"/>
      <c r="F181" s="79"/>
      <c r="G181" s="58"/>
    </row>
    <row r="182" spans="1:7" s="47" customFormat="1" ht="30" customHeight="1" thickBot="1" x14ac:dyDescent="0.3">
      <c r="A182" s="81" t="s">
        <v>10</v>
      </c>
      <c r="B182" s="163">
        <v>12</v>
      </c>
      <c r="C182" s="163"/>
      <c r="D182" s="82" t="s">
        <v>13</v>
      </c>
      <c r="E182" s="94">
        <v>44693</v>
      </c>
      <c r="F182" s="126" t="s">
        <v>50</v>
      </c>
      <c r="G182" s="46"/>
    </row>
    <row r="183" spans="1:7" s="47" customFormat="1" ht="30" customHeight="1" thickBot="1" x14ac:dyDescent="0.3">
      <c r="A183" s="80" t="s">
        <v>4</v>
      </c>
      <c r="B183" s="150" t="s">
        <v>38</v>
      </c>
      <c r="C183" s="151"/>
      <c r="D183" s="80" t="s">
        <v>11</v>
      </c>
      <c r="E183" s="229" t="s">
        <v>12</v>
      </c>
      <c r="F183" s="230"/>
      <c r="G183" s="46"/>
    </row>
    <row r="184" spans="1:7" s="52" customFormat="1" x14ac:dyDescent="0.3">
      <c r="A184" s="53" t="s">
        <v>15</v>
      </c>
      <c r="B184" s="54">
        <v>4</v>
      </c>
      <c r="C184" s="153" t="str">
        <f t="shared" ref="C184:C188" si="26" xml:space="preserve"> IF(B184="","",setValueToTime(B184))</f>
        <v>0h20min</v>
      </c>
      <c r="D184" s="166" t="s">
        <v>63</v>
      </c>
      <c r="E184" s="231"/>
      <c r="F184" s="232"/>
      <c r="G184" s="51"/>
    </row>
    <row r="185" spans="1:7" s="52" customFormat="1" x14ac:dyDescent="0.3">
      <c r="A185" s="53" t="s">
        <v>44</v>
      </c>
      <c r="B185" s="54">
        <v>1</v>
      </c>
      <c r="C185" s="153" t="str">
        <f t="shared" si="26"/>
        <v>0h5min</v>
      </c>
      <c r="D185" s="166" t="s">
        <v>77</v>
      </c>
      <c r="E185" s="233"/>
      <c r="F185" s="234"/>
      <c r="G185" s="51"/>
    </row>
    <row r="186" spans="1:7" s="52" customFormat="1" x14ac:dyDescent="0.3">
      <c r="A186" s="53" t="s">
        <v>55</v>
      </c>
      <c r="B186" s="54">
        <v>10</v>
      </c>
      <c r="C186" s="153" t="str">
        <f t="shared" si="26"/>
        <v>0h50min</v>
      </c>
      <c r="D186" s="166" t="s">
        <v>83</v>
      </c>
      <c r="E186" s="233"/>
      <c r="F186" s="234"/>
      <c r="G186" s="51"/>
    </row>
    <row r="187" spans="1:7" s="52" customFormat="1" x14ac:dyDescent="0.3">
      <c r="A187" s="53" t="s">
        <v>43</v>
      </c>
      <c r="B187" s="54">
        <v>17</v>
      </c>
      <c r="C187" s="153" t="str">
        <f t="shared" si="26"/>
        <v>1h25min</v>
      </c>
      <c r="D187" s="166" t="s">
        <v>84</v>
      </c>
      <c r="E187" s="233"/>
      <c r="F187" s="234"/>
      <c r="G187" s="51"/>
    </row>
    <row r="188" spans="1:7" s="52" customFormat="1" x14ac:dyDescent="0.3">
      <c r="A188" s="54" t="s">
        <v>14</v>
      </c>
      <c r="B188" s="54">
        <v>5</v>
      </c>
      <c r="C188" s="154" t="str">
        <f t="shared" si="26"/>
        <v>0h25min</v>
      </c>
      <c r="D188" s="55" t="s">
        <v>79</v>
      </c>
      <c r="E188" s="233"/>
      <c r="F188" s="234"/>
      <c r="G188" s="51"/>
    </row>
    <row r="189" spans="1:7" s="52" customFormat="1" x14ac:dyDescent="0.3">
      <c r="A189" s="54"/>
      <c r="B189" s="54"/>
      <c r="C189" s="154" t="str">
        <f t="shared" ref="C189:C191" si="27" xml:space="preserve"> IF(B189="","",setValueToTime(B189))</f>
        <v/>
      </c>
      <c r="D189" s="55"/>
      <c r="E189" s="233"/>
      <c r="F189" s="234"/>
      <c r="G189" s="51"/>
    </row>
    <row r="190" spans="1:7" s="52" customFormat="1" x14ac:dyDescent="0.3">
      <c r="A190" s="54"/>
      <c r="B190" s="54"/>
      <c r="C190" s="154" t="str">
        <f t="shared" si="27"/>
        <v/>
      </c>
      <c r="D190" s="55"/>
      <c r="E190" s="233"/>
      <c r="F190" s="234"/>
      <c r="G190" s="51"/>
    </row>
    <row r="191" spans="1:7" s="52" customFormat="1" ht="15" thickBot="1" x14ac:dyDescent="0.35">
      <c r="A191" s="56"/>
      <c r="B191" s="56"/>
      <c r="C191" s="155" t="str">
        <f t="shared" si="27"/>
        <v/>
      </c>
      <c r="D191" s="57"/>
      <c r="E191" s="235"/>
      <c r="F191" s="236"/>
      <c r="G191" s="51"/>
    </row>
    <row r="192" spans="1:7" s="52" customFormat="1" ht="15" thickBot="1" x14ac:dyDescent="0.35">
      <c r="A192" s="111" t="s">
        <v>27</v>
      </c>
      <c r="B192" s="84">
        <f>SUM(B184:B191)</f>
        <v>37</v>
      </c>
      <c r="C192" s="111" t="str">
        <f xml:space="preserve"> setValueToTime(B192)</f>
        <v>3h5min</v>
      </c>
      <c r="D192" s="120"/>
      <c r="E192" s="227"/>
      <c r="F192" s="228"/>
      <c r="G192" s="51"/>
    </row>
    <row r="193" spans="1:7" s="59" customFormat="1" ht="15" thickBot="1" x14ac:dyDescent="0.35">
      <c r="A193" s="79"/>
      <c r="B193" s="79"/>
      <c r="C193" s="79"/>
      <c r="D193" s="79"/>
      <c r="E193" s="79"/>
      <c r="F193" s="79"/>
      <c r="G193" s="58"/>
    </row>
    <row r="194" spans="1:7" s="47" customFormat="1" ht="30" customHeight="1" thickBot="1" x14ac:dyDescent="0.3">
      <c r="A194" s="81" t="s">
        <v>10</v>
      </c>
      <c r="B194" s="163">
        <v>11</v>
      </c>
      <c r="C194" s="163"/>
      <c r="D194" s="82" t="s">
        <v>13</v>
      </c>
      <c r="E194" s="94">
        <v>44693</v>
      </c>
      <c r="F194" s="126" t="s">
        <v>49</v>
      </c>
      <c r="G194" s="46"/>
    </row>
    <row r="195" spans="1:7" s="47" customFormat="1" ht="30" customHeight="1" thickBot="1" x14ac:dyDescent="0.3">
      <c r="A195" s="80" t="s">
        <v>4</v>
      </c>
      <c r="B195" s="150" t="s">
        <v>38</v>
      </c>
      <c r="C195" s="151"/>
      <c r="D195" s="80" t="s">
        <v>11</v>
      </c>
      <c r="E195" s="229" t="s">
        <v>12</v>
      </c>
      <c r="F195" s="230"/>
      <c r="G195" s="46"/>
    </row>
    <row r="196" spans="1:7" s="52" customFormat="1" x14ac:dyDescent="0.3">
      <c r="A196" s="48" t="s">
        <v>55</v>
      </c>
      <c r="B196" s="49">
        <v>35</v>
      </c>
      <c r="C196" s="152" t="str">
        <f xml:space="preserve"> IF(B196="","",setValueToTime(B196))</f>
        <v>2h55min</v>
      </c>
      <c r="D196" s="165" t="s">
        <v>81</v>
      </c>
      <c r="E196" s="231"/>
      <c r="F196" s="232"/>
      <c r="G196" s="51"/>
    </row>
    <row r="197" spans="1:7" s="52" customFormat="1" x14ac:dyDescent="0.3">
      <c r="A197" s="53" t="s">
        <v>43</v>
      </c>
      <c r="B197" s="54">
        <v>10</v>
      </c>
      <c r="C197" s="153" t="str">
        <f t="shared" ref="C197:C203" si="28" xml:space="preserve"> IF(B197="","",setValueToTime(B197))</f>
        <v>0h50min</v>
      </c>
      <c r="D197" s="166" t="s">
        <v>82</v>
      </c>
      <c r="E197" s="233"/>
      <c r="F197" s="234"/>
      <c r="G197" s="51"/>
    </row>
    <row r="198" spans="1:7" s="52" customFormat="1" x14ac:dyDescent="0.3">
      <c r="A198" s="53"/>
      <c r="B198" s="54"/>
      <c r="C198" s="153" t="str">
        <f t="shared" si="28"/>
        <v/>
      </c>
      <c r="D198" s="55"/>
      <c r="E198" s="233"/>
      <c r="F198" s="234"/>
      <c r="G198" s="51"/>
    </row>
    <row r="199" spans="1:7" s="52" customFormat="1" x14ac:dyDescent="0.3">
      <c r="A199" s="53"/>
      <c r="B199" s="54"/>
      <c r="C199" s="153" t="str">
        <f t="shared" si="28"/>
        <v/>
      </c>
      <c r="D199" s="55"/>
      <c r="E199" s="233"/>
      <c r="F199" s="234"/>
      <c r="G199" s="51"/>
    </row>
    <row r="200" spans="1:7" s="52" customFormat="1" x14ac:dyDescent="0.3">
      <c r="A200" s="54"/>
      <c r="B200" s="54"/>
      <c r="C200" s="154" t="str">
        <f t="shared" si="28"/>
        <v/>
      </c>
      <c r="D200" s="55"/>
      <c r="E200" s="233"/>
      <c r="F200" s="234"/>
      <c r="G200" s="51"/>
    </row>
    <row r="201" spans="1:7" s="52" customFormat="1" x14ac:dyDescent="0.3">
      <c r="A201" s="54"/>
      <c r="B201" s="54"/>
      <c r="C201" s="154" t="str">
        <f t="shared" si="28"/>
        <v/>
      </c>
      <c r="D201" s="55"/>
      <c r="E201" s="233"/>
      <c r="F201" s="234"/>
      <c r="G201" s="51"/>
    </row>
    <row r="202" spans="1:7" s="52" customFormat="1" x14ac:dyDescent="0.3">
      <c r="A202" s="54"/>
      <c r="B202" s="54"/>
      <c r="C202" s="154" t="str">
        <f t="shared" si="28"/>
        <v/>
      </c>
      <c r="D202" s="55"/>
      <c r="E202" s="233"/>
      <c r="F202" s="234"/>
      <c r="G202" s="51"/>
    </row>
    <row r="203" spans="1:7" s="52" customFormat="1" ht="15" thickBot="1" x14ac:dyDescent="0.35">
      <c r="A203" s="56"/>
      <c r="B203" s="56"/>
      <c r="C203" s="155" t="str">
        <f t="shared" si="28"/>
        <v/>
      </c>
      <c r="D203" s="57"/>
      <c r="E203" s="235"/>
      <c r="F203" s="236"/>
      <c r="G203" s="51"/>
    </row>
    <row r="204" spans="1:7" s="52" customFormat="1" ht="15" thickBot="1" x14ac:dyDescent="0.35">
      <c r="A204" s="111" t="s">
        <v>27</v>
      </c>
      <c r="B204" s="84">
        <f>SUM(B196:B203)</f>
        <v>45</v>
      </c>
      <c r="C204" s="111" t="str">
        <f xml:space="preserve"> setValueToTime(B204)</f>
        <v>3h45min</v>
      </c>
      <c r="D204" s="120"/>
      <c r="E204" s="227"/>
      <c r="F204" s="228"/>
      <c r="G204" s="51"/>
    </row>
    <row r="205" spans="1:7" s="59" customFormat="1" ht="15" thickBot="1" x14ac:dyDescent="0.35">
      <c r="A205" s="79"/>
      <c r="B205" s="79"/>
      <c r="C205" s="79"/>
      <c r="D205" s="79"/>
      <c r="E205" s="79"/>
      <c r="F205" s="79"/>
      <c r="G205" s="58"/>
    </row>
    <row r="206" spans="1:7" s="47" customFormat="1" ht="30" customHeight="1" thickBot="1" x14ac:dyDescent="0.3">
      <c r="A206" s="81" t="s">
        <v>10</v>
      </c>
      <c r="B206" s="163">
        <v>10</v>
      </c>
      <c r="C206" s="163"/>
      <c r="D206" s="82" t="s">
        <v>13</v>
      </c>
      <c r="E206" s="94">
        <v>44692</v>
      </c>
      <c r="F206" s="126" t="s">
        <v>50</v>
      </c>
      <c r="G206" s="46"/>
    </row>
    <row r="207" spans="1:7" s="47" customFormat="1" ht="30" customHeight="1" thickBot="1" x14ac:dyDescent="0.3">
      <c r="A207" s="80" t="s">
        <v>4</v>
      </c>
      <c r="B207" s="150" t="s">
        <v>38</v>
      </c>
      <c r="C207" s="151"/>
      <c r="D207" s="80" t="s">
        <v>11</v>
      </c>
      <c r="E207" s="229" t="s">
        <v>12</v>
      </c>
      <c r="F207" s="230"/>
      <c r="G207" s="46"/>
    </row>
    <row r="208" spans="1:7" s="52" customFormat="1" x14ac:dyDescent="0.3">
      <c r="A208" s="53" t="s">
        <v>15</v>
      </c>
      <c r="B208" s="54">
        <v>4</v>
      </c>
      <c r="C208" s="153" t="str">
        <f t="shared" ref="C208:C209" si="29" xml:space="preserve"> IF(B208="","",setValueToTime(B208))</f>
        <v>0h20min</v>
      </c>
      <c r="D208" s="166" t="s">
        <v>63</v>
      </c>
      <c r="E208" s="231"/>
      <c r="F208" s="232"/>
      <c r="G208" s="51"/>
    </row>
    <row r="209" spans="1:7" s="52" customFormat="1" x14ac:dyDescent="0.3">
      <c r="A209" s="53" t="s">
        <v>44</v>
      </c>
      <c r="B209" s="54">
        <v>1</v>
      </c>
      <c r="C209" s="153" t="str">
        <f t="shared" si="29"/>
        <v>0h5min</v>
      </c>
      <c r="D209" s="166" t="s">
        <v>77</v>
      </c>
      <c r="E209" s="233"/>
      <c r="F209" s="234"/>
      <c r="G209" s="51"/>
    </row>
    <row r="210" spans="1:7" s="52" customFormat="1" x14ac:dyDescent="0.3">
      <c r="A210" s="53" t="s">
        <v>55</v>
      </c>
      <c r="B210" s="54">
        <v>12</v>
      </c>
      <c r="C210" s="153" t="str">
        <f t="shared" ref="C210:C215" si="30" xml:space="preserve"> IF(B210="","",setValueToTime(B210))</f>
        <v>1h</v>
      </c>
      <c r="D210" s="166" t="s">
        <v>81</v>
      </c>
      <c r="E210" s="233"/>
      <c r="F210" s="234"/>
      <c r="G210" s="51"/>
    </row>
    <row r="211" spans="1:7" s="52" customFormat="1" x14ac:dyDescent="0.3">
      <c r="A211" s="53" t="s">
        <v>43</v>
      </c>
      <c r="B211" s="54">
        <v>10</v>
      </c>
      <c r="C211" s="153" t="str">
        <f t="shared" si="30"/>
        <v>0h50min</v>
      </c>
      <c r="D211" s="166" t="s">
        <v>82</v>
      </c>
      <c r="E211" s="233"/>
      <c r="F211" s="234"/>
      <c r="G211" s="51"/>
    </row>
    <row r="212" spans="1:7" s="52" customFormat="1" x14ac:dyDescent="0.3">
      <c r="A212" s="54" t="s">
        <v>14</v>
      </c>
      <c r="B212" s="54">
        <v>5</v>
      </c>
      <c r="C212" s="154" t="str">
        <f t="shared" si="30"/>
        <v>0h25min</v>
      </c>
      <c r="D212" s="55" t="s">
        <v>79</v>
      </c>
      <c r="E212" s="233"/>
      <c r="F212" s="234"/>
      <c r="G212" s="51"/>
    </row>
    <row r="213" spans="1:7" s="52" customFormat="1" ht="27" x14ac:dyDescent="0.3">
      <c r="A213" s="54" t="s">
        <v>51</v>
      </c>
      <c r="B213" s="54">
        <v>4</v>
      </c>
      <c r="C213" s="154" t="str">
        <f t="shared" si="30"/>
        <v>0h20min</v>
      </c>
      <c r="D213" s="166" t="s">
        <v>76</v>
      </c>
      <c r="E213" s="233"/>
      <c r="F213" s="234"/>
      <c r="G213" s="51"/>
    </row>
    <row r="214" spans="1:7" s="52" customFormat="1" x14ac:dyDescent="0.3">
      <c r="A214" s="54"/>
      <c r="B214" s="54"/>
      <c r="C214" s="154" t="str">
        <f t="shared" si="30"/>
        <v/>
      </c>
      <c r="D214" s="55"/>
      <c r="E214" s="233"/>
      <c r="F214" s="234"/>
      <c r="G214" s="51"/>
    </row>
    <row r="215" spans="1:7" s="52" customFormat="1" ht="15" thickBot="1" x14ac:dyDescent="0.35">
      <c r="A215" s="56"/>
      <c r="B215" s="56"/>
      <c r="C215" s="155" t="str">
        <f t="shared" si="30"/>
        <v/>
      </c>
      <c r="D215" s="57"/>
      <c r="E215" s="235"/>
      <c r="F215" s="236"/>
      <c r="G215" s="51"/>
    </row>
    <row r="216" spans="1:7" s="52" customFormat="1" ht="15" thickBot="1" x14ac:dyDescent="0.35">
      <c r="A216" s="111" t="s">
        <v>27</v>
      </c>
      <c r="B216" s="84">
        <f>SUM(B208:B215)</f>
        <v>36</v>
      </c>
      <c r="C216" s="111" t="str">
        <f xml:space="preserve"> setValueToTime(B216)</f>
        <v>3h</v>
      </c>
      <c r="D216" s="120"/>
      <c r="E216" s="227"/>
      <c r="F216" s="228"/>
      <c r="G216" s="51"/>
    </row>
    <row r="217" spans="1:7" s="59" customFormat="1" ht="15" thickBot="1" x14ac:dyDescent="0.35">
      <c r="A217" s="79"/>
      <c r="B217" s="79"/>
      <c r="C217" s="79"/>
      <c r="D217" s="79"/>
      <c r="E217" s="79"/>
      <c r="F217" s="79"/>
      <c r="G217" s="58"/>
    </row>
    <row r="218" spans="1:7" s="47" customFormat="1" ht="30" customHeight="1" thickBot="1" x14ac:dyDescent="0.3">
      <c r="A218" s="81" t="s">
        <v>10</v>
      </c>
      <c r="B218" s="163">
        <v>9</v>
      </c>
      <c r="C218" s="163"/>
      <c r="D218" s="82" t="s">
        <v>13</v>
      </c>
      <c r="E218" s="94">
        <v>44692</v>
      </c>
      <c r="F218" s="126" t="s">
        <v>49</v>
      </c>
      <c r="G218" s="46"/>
    </row>
    <row r="219" spans="1:7" s="47" customFormat="1" ht="30" customHeight="1" thickBot="1" x14ac:dyDescent="0.3">
      <c r="A219" s="80" t="s">
        <v>4</v>
      </c>
      <c r="B219" s="150" t="s">
        <v>38</v>
      </c>
      <c r="C219" s="151"/>
      <c r="D219" s="80" t="s">
        <v>11</v>
      </c>
      <c r="E219" s="229" t="s">
        <v>12</v>
      </c>
      <c r="F219" s="230"/>
      <c r="G219" s="46"/>
    </row>
    <row r="220" spans="1:7" s="52" customFormat="1" x14ac:dyDescent="0.3">
      <c r="A220" s="48" t="s">
        <v>55</v>
      </c>
      <c r="B220" s="49">
        <v>35</v>
      </c>
      <c r="C220" s="152" t="str">
        <f xml:space="preserve"> IF(B220="","",setValueToTime(B220))</f>
        <v>2h55min</v>
      </c>
      <c r="D220" s="165" t="s">
        <v>81</v>
      </c>
      <c r="E220" s="231"/>
      <c r="F220" s="232"/>
      <c r="G220" s="51"/>
    </row>
    <row r="221" spans="1:7" s="52" customFormat="1" x14ac:dyDescent="0.3">
      <c r="A221" s="53" t="s">
        <v>43</v>
      </c>
      <c r="B221" s="54">
        <v>10</v>
      </c>
      <c r="C221" s="153" t="str">
        <f t="shared" ref="C221:C227" si="31" xml:space="preserve"> IF(B221="","",setValueToTime(B221))</f>
        <v>0h50min</v>
      </c>
      <c r="D221" s="166" t="s">
        <v>82</v>
      </c>
      <c r="E221" s="233"/>
      <c r="F221" s="234"/>
      <c r="G221" s="51"/>
    </row>
    <row r="222" spans="1:7" s="52" customFormat="1" x14ac:dyDescent="0.3">
      <c r="A222" s="53"/>
      <c r="B222" s="54"/>
      <c r="C222" s="153" t="str">
        <f t="shared" si="31"/>
        <v/>
      </c>
      <c r="D222" s="166"/>
      <c r="E222" s="233"/>
      <c r="F222" s="234"/>
      <c r="G222" s="51"/>
    </row>
    <row r="223" spans="1:7" s="52" customFormat="1" x14ac:dyDescent="0.3">
      <c r="A223" s="53"/>
      <c r="B223" s="54"/>
      <c r="C223" s="153" t="str">
        <f t="shared" si="31"/>
        <v/>
      </c>
      <c r="D223" s="55"/>
      <c r="E223" s="233"/>
      <c r="F223" s="234"/>
      <c r="G223" s="51"/>
    </row>
    <row r="224" spans="1:7" s="52" customFormat="1" x14ac:dyDescent="0.3">
      <c r="A224" s="54"/>
      <c r="B224" s="54"/>
      <c r="C224" s="154" t="str">
        <f t="shared" si="31"/>
        <v/>
      </c>
      <c r="D224" s="55"/>
      <c r="E224" s="233"/>
      <c r="F224" s="234"/>
      <c r="G224" s="51"/>
    </row>
    <row r="225" spans="1:7" s="52" customFormat="1" x14ac:dyDescent="0.3">
      <c r="A225" s="54"/>
      <c r="B225" s="54"/>
      <c r="C225" s="154" t="str">
        <f t="shared" si="31"/>
        <v/>
      </c>
      <c r="D225" s="55"/>
      <c r="E225" s="233"/>
      <c r="F225" s="234"/>
      <c r="G225" s="51"/>
    </row>
    <row r="226" spans="1:7" s="52" customFormat="1" x14ac:dyDescent="0.3">
      <c r="A226" s="54"/>
      <c r="B226" s="54"/>
      <c r="C226" s="154" t="str">
        <f t="shared" si="31"/>
        <v/>
      </c>
      <c r="D226" s="55"/>
      <c r="E226" s="233"/>
      <c r="F226" s="234"/>
      <c r="G226" s="51"/>
    </row>
    <row r="227" spans="1:7" s="52" customFormat="1" ht="15" thickBot="1" x14ac:dyDescent="0.35">
      <c r="A227" s="56"/>
      <c r="B227" s="56"/>
      <c r="C227" s="155" t="str">
        <f t="shared" si="31"/>
        <v/>
      </c>
      <c r="D227" s="57"/>
      <c r="E227" s="235"/>
      <c r="F227" s="236"/>
      <c r="G227" s="51"/>
    </row>
    <row r="228" spans="1:7" s="52" customFormat="1" ht="15" thickBot="1" x14ac:dyDescent="0.35">
      <c r="A228" s="111" t="s">
        <v>27</v>
      </c>
      <c r="B228" s="84">
        <f>SUM(B220:B227)</f>
        <v>45</v>
      </c>
      <c r="C228" s="111" t="str">
        <f xml:space="preserve"> setValueToTime(B228)</f>
        <v>3h45min</v>
      </c>
      <c r="D228" s="120"/>
      <c r="E228" s="227"/>
      <c r="F228" s="228"/>
      <c r="G228" s="51"/>
    </row>
    <row r="229" spans="1:7" s="59" customFormat="1" ht="15" thickBot="1" x14ac:dyDescent="0.35">
      <c r="A229" s="79"/>
      <c r="B229" s="79"/>
      <c r="C229" s="79"/>
      <c r="D229" s="79"/>
      <c r="E229" s="79"/>
      <c r="F229" s="79"/>
      <c r="G229" s="58"/>
    </row>
    <row r="230" spans="1:7" s="47" customFormat="1" ht="30" customHeight="1" thickBot="1" x14ac:dyDescent="0.3">
      <c r="A230" s="81" t="s">
        <v>10</v>
      </c>
      <c r="B230" s="163">
        <v>8</v>
      </c>
      <c r="C230" s="163"/>
      <c r="D230" s="82" t="s">
        <v>13</v>
      </c>
      <c r="E230" s="94">
        <v>44690</v>
      </c>
      <c r="F230" s="126" t="s">
        <v>49</v>
      </c>
      <c r="G230" s="46"/>
    </row>
    <row r="231" spans="1:7" s="47" customFormat="1" ht="30" customHeight="1" thickBot="1" x14ac:dyDescent="0.3">
      <c r="A231" s="80" t="s">
        <v>4</v>
      </c>
      <c r="B231" s="150" t="s">
        <v>38</v>
      </c>
      <c r="C231" s="151"/>
      <c r="D231" s="80" t="s">
        <v>11</v>
      </c>
      <c r="E231" s="229" t="s">
        <v>12</v>
      </c>
      <c r="F231" s="230"/>
      <c r="G231" s="46"/>
    </row>
    <row r="232" spans="1:7" s="52" customFormat="1" x14ac:dyDescent="0.3">
      <c r="A232" s="48" t="s">
        <v>42</v>
      </c>
      <c r="B232" s="49">
        <v>32</v>
      </c>
      <c r="C232" s="152" t="str">
        <f xml:space="preserve"> IF(B232="","",setValueToTime(B232))</f>
        <v>2h40min</v>
      </c>
      <c r="D232" s="165" t="s">
        <v>78</v>
      </c>
      <c r="E232" s="231"/>
      <c r="F232" s="232"/>
      <c r="G232" s="51"/>
    </row>
    <row r="233" spans="1:7" s="52" customFormat="1" x14ac:dyDescent="0.3">
      <c r="A233" s="53" t="s">
        <v>62</v>
      </c>
      <c r="B233" s="54">
        <v>4</v>
      </c>
      <c r="C233" s="153" t="str">
        <f t="shared" ref="C233:C239" si="32" xml:space="preserve"> IF(B233="","",setValueToTime(B233))</f>
        <v>0h20min</v>
      </c>
      <c r="D233" s="166" t="s">
        <v>75</v>
      </c>
      <c r="E233" s="233"/>
      <c r="F233" s="234"/>
      <c r="G233" s="51"/>
    </row>
    <row r="234" spans="1:7" s="52" customFormat="1" x14ac:dyDescent="0.3">
      <c r="A234" s="53"/>
      <c r="B234" s="54"/>
      <c r="C234" s="153" t="str">
        <f t="shared" si="32"/>
        <v/>
      </c>
      <c r="D234" s="55"/>
      <c r="E234" s="233"/>
      <c r="F234" s="234"/>
      <c r="G234" s="51"/>
    </row>
    <row r="235" spans="1:7" s="52" customFormat="1" x14ac:dyDescent="0.3">
      <c r="A235" s="53"/>
      <c r="B235" s="54"/>
      <c r="C235" s="153" t="str">
        <f t="shared" si="32"/>
        <v/>
      </c>
      <c r="D235" s="55"/>
      <c r="E235" s="233"/>
      <c r="F235" s="234"/>
      <c r="G235" s="51"/>
    </row>
    <row r="236" spans="1:7" s="52" customFormat="1" x14ac:dyDescent="0.3">
      <c r="A236" s="54"/>
      <c r="B236" s="54"/>
      <c r="C236" s="154" t="str">
        <f t="shared" si="32"/>
        <v/>
      </c>
      <c r="D236" s="55"/>
      <c r="E236" s="233"/>
      <c r="F236" s="234"/>
      <c r="G236" s="51"/>
    </row>
    <row r="237" spans="1:7" s="52" customFormat="1" x14ac:dyDescent="0.3">
      <c r="A237" s="54"/>
      <c r="B237" s="54"/>
      <c r="C237" s="154" t="str">
        <f t="shared" si="32"/>
        <v/>
      </c>
      <c r="D237" s="55"/>
      <c r="E237" s="233"/>
      <c r="F237" s="234"/>
      <c r="G237" s="51"/>
    </row>
    <row r="238" spans="1:7" s="52" customFormat="1" x14ac:dyDescent="0.3">
      <c r="A238" s="54"/>
      <c r="B238" s="54"/>
      <c r="C238" s="154" t="str">
        <f t="shared" si="32"/>
        <v/>
      </c>
      <c r="D238" s="55"/>
      <c r="E238" s="233"/>
      <c r="F238" s="234"/>
      <c r="G238" s="51"/>
    </row>
    <row r="239" spans="1:7" s="52" customFormat="1" ht="15" thickBot="1" x14ac:dyDescent="0.35">
      <c r="A239" s="56"/>
      <c r="B239" s="56"/>
      <c r="C239" s="155" t="str">
        <f t="shared" si="32"/>
        <v/>
      </c>
      <c r="D239" s="57"/>
      <c r="E239" s="235"/>
      <c r="F239" s="236"/>
      <c r="G239" s="51"/>
    </row>
    <row r="240" spans="1:7" s="52" customFormat="1" ht="15" thickBot="1" x14ac:dyDescent="0.35">
      <c r="A240" s="111" t="s">
        <v>27</v>
      </c>
      <c r="B240" s="84">
        <f>SUM(B232:B239)</f>
        <v>36</v>
      </c>
      <c r="C240" s="111" t="str">
        <f xml:space="preserve"> setValueToTime(B240)</f>
        <v>3h</v>
      </c>
      <c r="D240" s="120"/>
      <c r="E240" s="227"/>
      <c r="F240" s="228"/>
      <c r="G240" s="51"/>
    </row>
    <row r="241" spans="1:7" s="59" customFormat="1" ht="15" thickBot="1" x14ac:dyDescent="0.35">
      <c r="A241" s="79"/>
      <c r="B241" s="79"/>
      <c r="C241" s="79"/>
      <c r="D241" s="79"/>
      <c r="E241" s="79"/>
      <c r="F241" s="79"/>
      <c r="G241" s="58"/>
    </row>
    <row r="242" spans="1:7" s="47" customFormat="1" ht="30" customHeight="1" thickBot="1" x14ac:dyDescent="0.3">
      <c r="A242" s="81" t="s">
        <v>10</v>
      </c>
      <c r="B242" s="163">
        <v>7</v>
      </c>
      <c r="C242" s="163"/>
      <c r="D242" s="82" t="s">
        <v>13</v>
      </c>
      <c r="E242" s="94">
        <v>44687</v>
      </c>
      <c r="F242" s="126" t="s">
        <v>50</v>
      </c>
      <c r="G242" s="46"/>
    </row>
    <row r="243" spans="1:7" s="47" customFormat="1" ht="30" customHeight="1" thickBot="1" x14ac:dyDescent="0.3">
      <c r="A243" s="80" t="s">
        <v>4</v>
      </c>
      <c r="B243" s="150" t="s">
        <v>38</v>
      </c>
      <c r="C243" s="151"/>
      <c r="D243" s="80" t="s">
        <v>11</v>
      </c>
      <c r="E243" s="229" t="s">
        <v>12</v>
      </c>
      <c r="F243" s="230"/>
      <c r="G243" s="46"/>
    </row>
    <row r="244" spans="1:7" s="52" customFormat="1" x14ac:dyDescent="0.3">
      <c r="A244" s="48" t="s">
        <v>42</v>
      </c>
      <c r="B244" s="49">
        <v>22</v>
      </c>
      <c r="C244" s="152" t="str">
        <f xml:space="preserve"> IF(B244="","",setValueToTime(B244))</f>
        <v>1h50min</v>
      </c>
      <c r="D244" s="165" t="s">
        <v>80</v>
      </c>
      <c r="E244" s="231"/>
      <c r="F244" s="232"/>
      <c r="G244" s="51"/>
    </row>
    <row r="245" spans="1:7" s="52" customFormat="1" ht="27" x14ac:dyDescent="0.3">
      <c r="A245" s="53" t="s">
        <v>51</v>
      </c>
      <c r="B245" s="54">
        <v>4</v>
      </c>
      <c r="C245" s="153" t="str">
        <f t="shared" ref="C245:C251" si="33" xml:space="preserve"> IF(B245="","",setValueToTime(B245))</f>
        <v>0h20min</v>
      </c>
      <c r="D245" s="166" t="s">
        <v>76</v>
      </c>
      <c r="E245" s="233"/>
      <c r="F245" s="234"/>
      <c r="G245" s="51"/>
    </row>
    <row r="246" spans="1:7" s="52" customFormat="1" x14ac:dyDescent="0.3">
      <c r="A246" s="53" t="s">
        <v>15</v>
      </c>
      <c r="B246" s="54">
        <v>4</v>
      </c>
      <c r="C246" s="153" t="str">
        <f t="shared" si="33"/>
        <v>0h20min</v>
      </c>
      <c r="D246" s="166" t="s">
        <v>63</v>
      </c>
      <c r="E246" s="233"/>
      <c r="F246" s="234"/>
      <c r="G246" s="51"/>
    </row>
    <row r="247" spans="1:7" s="52" customFormat="1" x14ac:dyDescent="0.3">
      <c r="A247" s="53" t="s">
        <v>44</v>
      </c>
      <c r="B247" s="54">
        <v>1</v>
      </c>
      <c r="C247" s="153" t="str">
        <f t="shared" si="33"/>
        <v>0h5min</v>
      </c>
      <c r="D247" s="166" t="s">
        <v>77</v>
      </c>
      <c r="E247" s="233"/>
      <c r="F247" s="234"/>
      <c r="G247" s="51"/>
    </row>
    <row r="248" spans="1:7" s="52" customFormat="1" x14ac:dyDescent="0.3">
      <c r="A248" s="54" t="s">
        <v>62</v>
      </c>
      <c r="B248" s="54">
        <v>5</v>
      </c>
      <c r="C248" s="154" t="str">
        <f t="shared" si="33"/>
        <v>0h25min</v>
      </c>
      <c r="D248" s="166" t="s">
        <v>75</v>
      </c>
      <c r="E248" s="233"/>
      <c r="F248" s="234"/>
      <c r="G248" s="51"/>
    </row>
    <row r="249" spans="1:7" s="52" customFormat="1" x14ac:dyDescent="0.3">
      <c r="A249" s="54"/>
      <c r="B249" s="54"/>
      <c r="C249" s="154" t="str">
        <f t="shared" si="33"/>
        <v/>
      </c>
      <c r="D249" s="55"/>
      <c r="E249" s="233"/>
      <c r="F249" s="234"/>
      <c r="G249" s="51"/>
    </row>
    <row r="250" spans="1:7" s="52" customFormat="1" x14ac:dyDescent="0.3">
      <c r="A250" s="54"/>
      <c r="B250" s="54"/>
      <c r="C250" s="154" t="str">
        <f t="shared" si="33"/>
        <v/>
      </c>
      <c r="D250" s="55"/>
      <c r="E250" s="233"/>
      <c r="F250" s="234"/>
      <c r="G250" s="51"/>
    </row>
    <row r="251" spans="1:7" s="52" customFormat="1" ht="15" thickBot="1" x14ac:dyDescent="0.35">
      <c r="A251" s="56"/>
      <c r="B251" s="56"/>
      <c r="C251" s="155" t="str">
        <f t="shared" si="33"/>
        <v/>
      </c>
      <c r="D251" s="57"/>
      <c r="E251" s="235"/>
      <c r="F251" s="236"/>
      <c r="G251" s="51"/>
    </row>
    <row r="252" spans="1:7" s="52" customFormat="1" ht="15" thickBot="1" x14ac:dyDescent="0.35">
      <c r="A252" s="111" t="s">
        <v>27</v>
      </c>
      <c r="B252" s="84">
        <f>SUM(B244:B251)</f>
        <v>36</v>
      </c>
      <c r="C252" s="111" t="str">
        <f xml:space="preserve"> setValueToTime(B252)</f>
        <v>3h</v>
      </c>
      <c r="D252" s="120"/>
      <c r="E252" s="227"/>
      <c r="F252" s="228"/>
      <c r="G252" s="51"/>
    </row>
    <row r="253" spans="1:7" s="59" customFormat="1" ht="15" thickBot="1" x14ac:dyDescent="0.35">
      <c r="A253" s="79"/>
      <c r="B253" s="79"/>
      <c r="C253" s="79"/>
      <c r="D253" s="79"/>
      <c r="E253" s="79"/>
      <c r="F253" s="79"/>
      <c r="G253" s="58"/>
    </row>
    <row r="254" spans="1:7" s="47" customFormat="1" ht="30" customHeight="1" thickBot="1" x14ac:dyDescent="0.3">
      <c r="A254" s="81" t="s">
        <v>10</v>
      </c>
      <c r="B254" s="163">
        <v>6</v>
      </c>
      <c r="C254" s="163"/>
      <c r="D254" s="82" t="s">
        <v>13</v>
      </c>
      <c r="E254" s="94">
        <v>44687</v>
      </c>
      <c r="F254" s="126" t="s">
        <v>49</v>
      </c>
      <c r="G254" s="46"/>
    </row>
    <row r="255" spans="1:7" s="47" customFormat="1" ht="30" customHeight="1" thickBot="1" x14ac:dyDescent="0.3">
      <c r="A255" s="80" t="s">
        <v>4</v>
      </c>
      <c r="B255" s="150" t="s">
        <v>38</v>
      </c>
      <c r="C255" s="151"/>
      <c r="D255" s="80" t="s">
        <v>11</v>
      </c>
      <c r="E255" s="229" t="s">
        <v>12</v>
      </c>
      <c r="F255" s="230"/>
      <c r="G255" s="46"/>
    </row>
    <row r="256" spans="1:7" s="52" customFormat="1" x14ac:dyDescent="0.3">
      <c r="A256" s="48" t="s">
        <v>42</v>
      </c>
      <c r="B256" s="49">
        <v>9</v>
      </c>
      <c r="C256" s="152" t="str">
        <f xml:space="preserve"> IF(B256="","",setValueToTime(B256))</f>
        <v>0h45min</v>
      </c>
      <c r="D256" s="165" t="s">
        <v>80</v>
      </c>
      <c r="E256" s="231"/>
      <c r="F256" s="232"/>
      <c r="G256" s="51"/>
    </row>
    <row r="257" spans="1:7" s="52" customFormat="1" ht="27" x14ac:dyDescent="0.3">
      <c r="A257" s="53" t="s">
        <v>14</v>
      </c>
      <c r="B257" s="54">
        <v>36</v>
      </c>
      <c r="C257" s="153" t="str">
        <f t="shared" ref="C257:C263" si="34" xml:space="preserve"> IF(B257="","",setValueToTime(B257))</f>
        <v>3h</v>
      </c>
      <c r="D257" s="166" t="s">
        <v>90</v>
      </c>
      <c r="E257" s="233"/>
      <c r="F257" s="234"/>
      <c r="G257" s="51"/>
    </row>
    <row r="258" spans="1:7" s="52" customFormat="1" x14ac:dyDescent="0.3">
      <c r="A258" s="53"/>
      <c r="B258" s="54"/>
      <c r="C258" s="153" t="str">
        <f t="shared" si="34"/>
        <v/>
      </c>
      <c r="D258" s="55"/>
      <c r="E258" s="233"/>
      <c r="F258" s="234"/>
      <c r="G258" s="51"/>
    </row>
    <row r="259" spans="1:7" s="52" customFormat="1" x14ac:dyDescent="0.3">
      <c r="A259" s="53"/>
      <c r="B259" s="54"/>
      <c r="C259" s="153" t="str">
        <f t="shared" si="34"/>
        <v/>
      </c>
      <c r="D259" s="55"/>
      <c r="E259" s="233"/>
      <c r="F259" s="234"/>
      <c r="G259" s="51"/>
    </row>
    <row r="260" spans="1:7" s="52" customFormat="1" x14ac:dyDescent="0.3">
      <c r="A260" s="54"/>
      <c r="B260" s="54"/>
      <c r="C260" s="154" t="str">
        <f t="shared" si="34"/>
        <v/>
      </c>
      <c r="D260" s="55"/>
      <c r="E260" s="233"/>
      <c r="F260" s="234"/>
      <c r="G260" s="51"/>
    </row>
    <row r="261" spans="1:7" s="52" customFormat="1" x14ac:dyDescent="0.3">
      <c r="A261" s="54"/>
      <c r="B261" s="54"/>
      <c r="C261" s="154" t="str">
        <f t="shared" si="34"/>
        <v/>
      </c>
      <c r="D261" s="55"/>
      <c r="E261" s="233"/>
      <c r="F261" s="234"/>
      <c r="G261" s="51"/>
    </row>
    <row r="262" spans="1:7" s="52" customFormat="1" x14ac:dyDescent="0.3">
      <c r="A262" s="54"/>
      <c r="B262" s="54"/>
      <c r="C262" s="154" t="str">
        <f t="shared" si="34"/>
        <v/>
      </c>
      <c r="D262" s="55"/>
      <c r="E262" s="233"/>
      <c r="F262" s="234"/>
      <c r="G262" s="51"/>
    </row>
    <row r="263" spans="1:7" s="52" customFormat="1" ht="15" thickBot="1" x14ac:dyDescent="0.35">
      <c r="A263" s="56"/>
      <c r="B263" s="56"/>
      <c r="C263" s="155" t="str">
        <f t="shared" si="34"/>
        <v/>
      </c>
      <c r="D263" s="57"/>
      <c r="E263" s="235"/>
      <c r="F263" s="236"/>
      <c r="G263" s="51"/>
    </row>
    <row r="264" spans="1:7" s="52" customFormat="1" ht="15" thickBot="1" x14ac:dyDescent="0.35">
      <c r="A264" s="111" t="s">
        <v>27</v>
      </c>
      <c r="B264" s="84">
        <f>SUM(B256:B263)</f>
        <v>45</v>
      </c>
      <c r="C264" s="111" t="str">
        <f xml:space="preserve"> setValueToTime(B264)</f>
        <v>3h45min</v>
      </c>
      <c r="D264" s="120"/>
      <c r="E264" s="227"/>
      <c r="F264" s="228"/>
      <c r="G264" s="51"/>
    </row>
    <row r="265" spans="1:7" s="59" customFormat="1" ht="15" thickBot="1" x14ac:dyDescent="0.35">
      <c r="A265" s="79"/>
      <c r="B265" s="79"/>
      <c r="C265" s="79"/>
      <c r="D265" s="79"/>
      <c r="E265" s="79"/>
      <c r="F265" s="79"/>
      <c r="G265" s="58"/>
    </row>
    <row r="266" spans="1:7" s="47" customFormat="1" ht="30" customHeight="1" thickBot="1" x14ac:dyDescent="0.3">
      <c r="A266" s="81" t="s">
        <v>10</v>
      </c>
      <c r="B266" s="163">
        <v>5</v>
      </c>
      <c r="C266" s="163"/>
      <c r="D266" s="82" t="s">
        <v>13</v>
      </c>
      <c r="E266" s="94">
        <v>44686</v>
      </c>
      <c r="F266" s="126" t="s">
        <v>50</v>
      </c>
      <c r="G266" s="46"/>
    </row>
    <row r="267" spans="1:7" s="47" customFormat="1" ht="30" customHeight="1" thickBot="1" x14ac:dyDescent="0.3">
      <c r="A267" s="80" t="s">
        <v>4</v>
      </c>
      <c r="B267" s="150" t="s">
        <v>38</v>
      </c>
      <c r="C267" s="151"/>
      <c r="D267" s="80" t="s">
        <v>11</v>
      </c>
      <c r="E267" s="229" t="s">
        <v>12</v>
      </c>
      <c r="F267" s="230"/>
      <c r="G267" s="46"/>
    </row>
    <row r="268" spans="1:7" s="52" customFormat="1" ht="27" x14ac:dyDescent="0.3">
      <c r="A268" s="48" t="s">
        <v>57</v>
      </c>
      <c r="B268" s="49">
        <v>20</v>
      </c>
      <c r="C268" s="152" t="str">
        <f xml:space="preserve"> IF(B268="","",setValueToTime(B268))</f>
        <v>1h40min</v>
      </c>
      <c r="D268" s="166" t="s">
        <v>65</v>
      </c>
      <c r="E268" s="231"/>
      <c r="F268" s="232"/>
      <c r="G268" s="51"/>
    </row>
    <row r="269" spans="1:7" s="52" customFormat="1" x14ac:dyDescent="0.3">
      <c r="A269" s="53" t="s">
        <v>14</v>
      </c>
      <c r="B269" s="54">
        <v>11</v>
      </c>
      <c r="C269" s="153" t="str">
        <f t="shared" ref="C269:C275" si="35" xml:space="preserve"> IF(B269="","",setValueToTime(B269))</f>
        <v>0h55min</v>
      </c>
      <c r="D269" s="166" t="s">
        <v>66</v>
      </c>
      <c r="E269" s="233"/>
      <c r="F269" s="234"/>
      <c r="G269" s="51"/>
    </row>
    <row r="270" spans="1:7" s="52" customFormat="1" x14ac:dyDescent="0.3">
      <c r="A270" s="53" t="s">
        <v>15</v>
      </c>
      <c r="B270" s="54">
        <v>4</v>
      </c>
      <c r="C270" s="153" t="str">
        <f t="shared" si="35"/>
        <v>0h20min</v>
      </c>
      <c r="D270" s="166" t="s">
        <v>68</v>
      </c>
      <c r="E270" s="233"/>
      <c r="F270" s="234"/>
      <c r="G270" s="51"/>
    </row>
    <row r="271" spans="1:7" s="52" customFormat="1" x14ac:dyDescent="0.3">
      <c r="A271" s="53" t="s">
        <v>44</v>
      </c>
      <c r="B271" s="54">
        <v>1</v>
      </c>
      <c r="C271" s="153" t="str">
        <f t="shared" si="35"/>
        <v>0h5min</v>
      </c>
      <c r="D271" s="166" t="s">
        <v>67</v>
      </c>
      <c r="E271" s="233"/>
      <c r="F271" s="234"/>
      <c r="G271" s="51"/>
    </row>
    <row r="272" spans="1:7" s="52" customFormat="1" x14ac:dyDescent="0.3">
      <c r="A272" s="54"/>
      <c r="B272" s="54"/>
      <c r="C272" s="154" t="str">
        <f t="shared" si="35"/>
        <v/>
      </c>
      <c r="D272" s="55"/>
      <c r="E272" s="233"/>
      <c r="F272" s="234"/>
      <c r="G272" s="51"/>
    </row>
    <row r="273" spans="1:7" s="52" customFormat="1" x14ac:dyDescent="0.3">
      <c r="A273" s="54"/>
      <c r="B273" s="54"/>
      <c r="C273" s="154" t="str">
        <f t="shared" si="35"/>
        <v/>
      </c>
      <c r="D273" s="55"/>
      <c r="E273" s="233"/>
      <c r="F273" s="234"/>
      <c r="G273" s="51"/>
    </row>
    <row r="274" spans="1:7" s="52" customFormat="1" x14ac:dyDescent="0.3">
      <c r="A274" s="54"/>
      <c r="B274" s="54"/>
      <c r="C274" s="154" t="str">
        <f t="shared" si="35"/>
        <v/>
      </c>
      <c r="D274" s="55"/>
      <c r="E274" s="233"/>
      <c r="F274" s="234"/>
      <c r="G274" s="51"/>
    </row>
    <row r="275" spans="1:7" s="52" customFormat="1" ht="15" thickBot="1" x14ac:dyDescent="0.35">
      <c r="A275" s="56"/>
      <c r="B275" s="56"/>
      <c r="C275" s="155" t="str">
        <f t="shared" si="35"/>
        <v/>
      </c>
      <c r="D275" s="57"/>
      <c r="E275" s="235"/>
      <c r="F275" s="236"/>
      <c r="G275" s="51"/>
    </row>
    <row r="276" spans="1:7" s="52" customFormat="1" ht="15" thickBot="1" x14ac:dyDescent="0.35">
      <c r="A276" s="111" t="s">
        <v>27</v>
      </c>
      <c r="B276" s="84">
        <f>SUM(B268:B275)</f>
        <v>36</v>
      </c>
      <c r="C276" s="111" t="str">
        <f xml:space="preserve"> setValueToTime(B276)</f>
        <v>3h</v>
      </c>
      <c r="D276" s="120"/>
      <c r="E276" s="227"/>
      <c r="F276" s="228"/>
      <c r="G276" s="51"/>
    </row>
    <row r="277" spans="1:7" s="59" customFormat="1" ht="15" thickBot="1" x14ac:dyDescent="0.35">
      <c r="A277" s="79"/>
      <c r="B277" s="79"/>
      <c r="C277" s="79"/>
      <c r="D277" s="79"/>
      <c r="E277" s="79"/>
      <c r="F277" s="79"/>
      <c r="G277" s="58"/>
    </row>
    <row r="278" spans="1:7" s="47" customFormat="1" ht="30" customHeight="1" thickBot="1" x14ac:dyDescent="0.3">
      <c r="A278" s="81" t="s">
        <v>10</v>
      </c>
      <c r="B278" s="163">
        <v>4</v>
      </c>
      <c r="C278" s="163"/>
      <c r="D278" s="82" t="s">
        <v>13</v>
      </c>
      <c r="E278" s="94">
        <v>44686</v>
      </c>
      <c r="F278" s="126" t="s">
        <v>49</v>
      </c>
      <c r="G278" s="46"/>
    </row>
    <row r="279" spans="1:7" s="47" customFormat="1" ht="30" customHeight="1" thickBot="1" x14ac:dyDescent="0.3">
      <c r="A279" s="80" t="s">
        <v>4</v>
      </c>
      <c r="B279" s="150" t="s">
        <v>38</v>
      </c>
      <c r="C279" s="151"/>
      <c r="D279" s="80" t="s">
        <v>11</v>
      </c>
      <c r="E279" s="229" t="s">
        <v>12</v>
      </c>
      <c r="F279" s="230"/>
      <c r="G279" s="46"/>
    </row>
    <row r="280" spans="1:7" s="52" customFormat="1" x14ac:dyDescent="0.3">
      <c r="A280" s="48" t="s">
        <v>62</v>
      </c>
      <c r="B280" s="49">
        <v>21</v>
      </c>
      <c r="C280" s="152" t="str">
        <f xml:space="preserve"> IF(B280="","",setValueToTime(B280))</f>
        <v>1h45min</v>
      </c>
      <c r="D280" s="165" t="s">
        <v>64</v>
      </c>
      <c r="E280" s="231"/>
      <c r="F280" s="232"/>
      <c r="G280" s="51"/>
    </row>
    <row r="281" spans="1:7" s="52" customFormat="1" ht="27" x14ac:dyDescent="0.3">
      <c r="A281" s="53" t="s">
        <v>57</v>
      </c>
      <c r="B281" s="54">
        <v>14</v>
      </c>
      <c r="C281" s="153" t="str">
        <f t="shared" ref="C281:C287" si="36" xml:space="preserve"> IF(B281="","",setValueToTime(B281))</f>
        <v>1h10min</v>
      </c>
      <c r="D281" s="166" t="s">
        <v>65</v>
      </c>
      <c r="E281" s="233"/>
      <c r="F281" s="234"/>
      <c r="G281" s="51"/>
    </row>
    <row r="282" spans="1:7" s="52" customFormat="1" x14ac:dyDescent="0.3">
      <c r="A282" s="53" t="s">
        <v>41</v>
      </c>
      <c r="B282" s="54">
        <v>10</v>
      </c>
      <c r="C282" s="153" t="str">
        <f t="shared" si="36"/>
        <v>0h50min</v>
      </c>
      <c r="D282" s="166" t="s">
        <v>74</v>
      </c>
      <c r="E282" s="233"/>
      <c r="F282" s="234"/>
      <c r="G282" s="51"/>
    </row>
    <row r="283" spans="1:7" s="52" customFormat="1" x14ac:dyDescent="0.3">
      <c r="A283" s="53"/>
      <c r="B283" s="54"/>
      <c r="C283" s="153" t="str">
        <f t="shared" si="36"/>
        <v/>
      </c>
      <c r="D283" s="55"/>
      <c r="E283" s="233"/>
      <c r="F283" s="234"/>
      <c r="G283" s="51"/>
    </row>
    <row r="284" spans="1:7" s="52" customFormat="1" x14ac:dyDescent="0.3">
      <c r="A284" s="54"/>
      <c r="B284" s="54"/>
      <c r="C284" s="154" t="str">
        <f t="shared" si="36"/>
        <v/>
      </c>
      <c r="D284" s="55"/>
      <c r="E284" s="233"/>
      <c r="F284" s="234"/>
      <c r="G284" s="51"/>
    </row>
    <row r="285" spans="1:7" s="52" customFormat="1" x14ac:dyDescent="0.3">
      <c r="A285" s="54"/>
      <c r="B285" s="54"/>
      <c r="C285" s="154" t="str">
        <f t="shared" si="36"/>
        <v/>
      </c>
      <c r="D285" s="55"/>
      <c r="E285" s="233"/>
      <c r="F285" s="234"/>
      <c r="G285" s="51"/>
    </row>
    <row r="286" spans="1:7" s="52" customFormat="1" x14ac:dyDescent="0.3">
      <c r="A286" s="54"/>
      <c r="B286" s="54"/>
      <c r="C286" s="154" t="str">
        <f t="shared" si="36"/>
        <v/>
      </c>
      <c r="D286" s="55"/>
      <c r="E286" s="233"/>
      <c r="F286" s="234"/>
      <c r="G286" s="51"/>
    </row>
    <row r="287" spans="1:7" s="52" customFormat="1" ht="15" thickBot="1" x14ac:dyDescent="0.35">
      <c r="A287" s="56"/>
      <c r="B287" s="56"/>
      <c r="C287" s="155" t="str">
        <f t="shared" si="36"/>
        <v/>
      </c>
      <c r="D287" s="57"/>
      <c r="E287" s="235"/>
      <c r="F287" s="236"/>
      <c r="G287" s="51"/>
    </row>
    <row r="288" spans="1:7" s="52" customFormat="1" ht="15" thickBot="1" x14ac:dyDescent="0.35">
      <c r="A288" s="111" t="s">
        <v>27</v>
      </c>
      <c r="B288" s="84">
        <f>SUM(B280:B287)</f>
        <v>45</v>
      </c>
      <c r="C288" s="111" t="str">
        <f xml:space="preserve"> setValueToTime(B288)</f>
        <v>3h45min</v>
      </c>
      <c r="D288" s="120"/>
      <c r="E288" s="227"/>
      <c r="F288" s="228"/>
      <c r="G288" s="51"/>
    </row>
    <row r="289" spans="1:7" s="59" customFormat="1" ht="15" thickBot="1" x14ac:dyDescent="0.35">
      <c r="A289" s="79"/>
      <c r="B289" s="79"/>
      <c r="C289" s="79"/>
      <c r="D289" s="79"/>
      <c r="E289" s="79"/>
      <c r="F289" s="79"/>
      <c r="G289" s="58"/>
    </row>
    <row r="290" spans="1:7" s="47" customFormat="1" ht="30" customHeight="1" thickBot="1" x14ac:dyDescent="0.3">
      <c r="A290" s="81" t="s">
        <v>10</v>
      </c>
      <c r="B290" s="163">
        <v>3</v>
      </c>
      <c r="C290" s="163"/>
      <c r="D290" s="82" t="s">
        <v>13</v>
      </c>
      <c r="E290" s="94">
        <v>44685</v>
      </c>
      <c r="F290" s="126" t="s">
        <v>50</v>
      </c>
      <c r="G290" s="46"/>
    </row>
    <row r="291" spans="1:7" s="47" customFormat="1" ht="30" customHeight="1" thickBot="1" x14ac:dyDescent="0.3">
      <c r="A291" s="80" t="s">
        <v>4</v>
      </c>
      <c r="B291" s="150" t="s">
        <v>38</v>
      </c>
      <c r="C291" s="151"/>
      <c r="D291" s="80" t="s">
        <v>11</v>
      </c>
      <c r="E291" s="229" t="s">
        <v>12</v>
      </c>
      <c r="F291" s="230"/>
      <c r="G291" s="46"/>
    </row>
    <row r="292" spans="1:7" s="52" customFormat="1" x14ac:dyDescent="0.3">
      <c r="A292" s="48" t="s">
        <v>44</v>
      </c>
      <c r="B292" s="49">
        <v>5</v>
      </c>
      <c r="C292" s="152" t="str">
        <f xml:space="preserve"> IF(B292="","",setValueToTime(B292))</f>
        <v>0h25min</v>
      </c>
      <c r="D292" s="165" t="s">
        <v>59</v>
      </c>
      <c r="E292" s="231"/>
      <c r="F292" s="232"/>
      <c r="G292" s="51"/>
    </row>
    <row r="293" spans="1:7" s="52" customFormat="1" x14ac:dyDescent="0.3">
      <c r="A293" s="53" t="s">
        <v>14</v>
      </c>
      <c r="B293" s="54">
        <v>10</v>
      </c>
      <c r="C293" s="153" t="str">
        <f t="shared" ref="C293:C299" si="37" xml:space="preserve"> IF(B293="","",setValueToTime(B293))</f>
        <v>0h50min</v>
      </c>
      <c r="D293" s="166" t="s">
        <v>61</v>
      </c>
      <c r="E293" s="233"/>
      <c r="F293" s="234"/>
      <c r="G293" s="51"/>
    </row>
    <row r="294" spans="1:7" s="52" customFormat="1" ht="27" x14ac:dyDescent="0.3">
      <c r="A294" s="53" t="s">
        <v>51</v>
      </c>
      <c r="B294" s="54">
        <v>4</v>
      </c>
      <c r="C294" s="153" t="str">
        <f t="shared" ref="C294:C296" si="38" xml:space="preserve"> IF(B294="","",setValueToTime(B294))</f>
        <v>0h20min</v>
      </c>
      <c r="D294" s="166" t="s">
        <v>76</v>
      </c>
      <c r="E294" s="233"/>
      <c r="F294" s="234"/>
      <c r="G294" s="51"/>
    </row>
    <row r="295" spans="1:7" s="52" customFormat="1" x14ac:dyDescent="0.3">
      <c r="A295" s="54" t="s">
        <v>15</v>
      </c>
      <c r="B295" s="54">
        <v>4</v>
      </c>
      <c r="C295" s="154" t="str">
        <f t="shared" si="38"/>
        <v>0h20min</v>
      </c>
      <c r="D295" s="166" t="s">
        <v>63</v>
      </c>
      <c r="E295" s="233"/>
      <c r="F295" s="234"/>
      <c r="G295" s="51"/>
    </row>
    <row r="296" spans="1:7" s="52" customFormat="1" x14ac:dyDescent="0.3">
      <c r="A296" s="54" t="s">
        <v>40</v>
      </c>
      <c r="B296" s="54">
        <v>13</v>
      </c>
      <c r="C296" s="154" t="str">
        <f t="shared" si="38"/>
        <v>1h5min</v>
      </c>
      <c r="D296" s="166" t="s">
        <v>72</v>
      </c>
      <c r="E296" s="233"/>
      <c r="F296" s="234"/>
      <c r="G296" s="51"/>
    </row>
    <row r="297" spans="1:7" s="52" customFormat="1" x14ac:dyDescent="0.3">
      <c r="A297" s="54"/>
      <c r="B297" s="54"/>
      <c r="C297" s="154" t="str">
        <f t="shared" si="37"/>
        <v/>
      </c>
      <c r="D297" s="166"/>
      <c r="E297" s="233"/>
      <c r="F297" s="234"/>
      <c r="G297" s="51"/>
    </row>
    <row r="298" spans="1:7" s="52" customFormat="1" x14ac:dyDescent="0.3">
      <c r="A298" s="54"/>
      <c r="B298" s="54"/>
      <c r="C298" s="154" t="str">
        <f t="shared" si="37"/>
        <v/>
      </c>
      <c r="D298" s="55"/>
      <c r="E298" s="233"/>
      <c r="F298" s="234"/>
      <c r="G298" s="51"/>
    </row>
    <row r="299" spans="1:7" s="52" customFormat="1" ht="15" thickBot="1" x14ac:dyDescent="0.35">
      <c r="A299" s="56"/>
      <c r="B299" s="56"/>
      <c r="C299" s="155" t="str">
        <f t="shared" si="37"/>
        <v/>
      </c>
      <c r="D299" s="57"/>
      <c r="E299" s="235"/>
      <c r="F299" s="236"/>
      <c r="G299" s="51"/>
    </row>
    <row r="300" spans="1:7" s="52" customFormat="1" ht="15" thickBot="1" x14ac:dyDescent="0.35">
      <c r="A300" s="111" t="s">
        <v>27</v>
      </c>
      <c r="B300" s="84">
        <f>SUM(B292:B299)</f>
        <v>36</v>
      </c>
      <c r="C300" s="111" t="str">
        <f xml:space="preserve"> setValueToTime(B300)</f>
        <v>3h</v>
      </c>
      <c r="D300" s="120"/>
      <c r="E300" s="227"/>
      <c r="F300" s="228"/>
      <c r="G300" s="51"/>
    </row>
    <row r="301" spans="1:7" s="59" customFormat="1" ht="15" thickBot="1" x14ac:dyDescent="0.35">
      <c r="A301" s="79"/>
      <c r="B301" s="79"/>
      <c r="C301" s="79"/>
      <c r="D301" s="79"/>
      <c r="E301" s="79"/>
      <c r="F301" s="79"/>
      <c r="G301" s="58"/>
    </row>
    <row r="302" spans="1:7" s="47" customFormat="1" ht="30" customHeight="1" thickBot="1" x14ac:dyDescent="0.3">
      <c r="A302" s="81" t="s">
        <v>10</v>
      </c>
      <c r="B302" s="163">
        <v>2</v>
      </c>
      <c r="C302" s="163"/>
      <c r="D302" s="82" t="s">
        <v>13</v>
      </c>
      <c r="E302" s="94">
        <v>44685</v>
      </c>
      <c r="F302" s="126" t="s">
        <v>49</v>
      </c>
      <c r="G302" s="46"/>
    </row>
    <row r="303" spans="1:7" s="47" customFormat="1" ht="30" customHeight="1" thickBot="1" x14ac:dyDescent="0.3">
      <c r="A303" s="80" t="s">
        <v>4</v>
      </c>
      <c r="B303" s="150" t="s">
        <v>38</v>
      </c>
      <c r="C303" s="151"/>
      <c r="D303" s="80" t="s">
        <v>11</v>
      </c>
      <c r="E303" s="229" t="s">
        <v>12</v>
      </c>
      <c r="F303" s="230"/>
      <c r="G303" s="46"/>
    </row>
    <row r="304" spans="1:7" s="52" customFormat="1" x14ac:dyDescent="0.3">
      <c r="A304" s="48" t="s">
        <v>69</v>
      </c>
      <c r="B304" s="49">
        <v>18</v>
      </c>
      <c r="C304" s="152" t="str">
        <f xml:space="preserve"> IF(B304="","",setValueToTime(B304))</f>
        <v>1h30min</v>
      </c>
      <c r="D304" s="165" t="s">
        <v>70</v>
      </c>
      <c r="E304" s="231"/>
      <c r="F304" s="232"/>
      <c r="G304" s="51"/>
    </row>
    <row r="305" spans="1:7" s="52" customFormat="1" x14ac:dyDescent="0.3">
      <c r="A305" s="168" t="s">
        <v>41</v>
      </c>
      <c r="B305" s="54">
        <v>10</v>
      </c>
      <c r="C305" s="153" t="str">
        <f t="shared" ref="C305:C311" si="39" xml:space="preserve"> IF(B305="","",setValueToTime(B305))</f>
        <v>0h50min</v>
      </c>
      <c r="D305" s="166" t="s">
        <v>58</v>
      </c>
      <c r="E305" s="233"/>
      <c r="F305" s="234"/>
      <c r="G305" s="51"/>
    </row>
    <row r="306" spans="1:7" s="52" customFormat="1" x14ac:dyDescent="0.3">
      <c r="A306" s="53" t="s">
        <v>14</v>
      </c>
      <c r="B306" s="54">
        <v>12</v>
      </c>
      <c r="C306" s="153" t="str">
        <f t="shared" si="39"/>
        <v>1h</v>
      </c>
      <c r="D306" s="166" t="s">
        <v>60</v>
      </c>
      <c r="E306" s="233"/>
      <c r="F306" s="234"/>
      <c r="G306" s="51"/>
    </row>
    <row r="307" spans="1:7" s="52" customFormat="1" x14ac:dyDescent="0.3">
      <c r="A307" s="53" t="s">
        <v>40</v>
      </c>
      <c r="B307" s="54">
        <v>5</v>
      </c>
      <c r="C307" s="153" t="str">
        <f t="shared" si="39"/>
        <v>0h25min</v>
      </c>
      <c r="D307" s="166" t="s">
        <v>71</v>
      </c>
      <c r="E307" s="233"/>
      <c r="F307" s="234"/>
      <c r="G307" s="51"/>
    </row>
    <row r="308" spans="1:7" s="52" customFormat="1" x14ac:dyDescent="0.3">
      <c r="A308" s="54"/>
      <c r="B308" s="54"/>
      <c r="C308" s="154" t="str">
        <f t="shared" si="39"/>
        <v/>
      </c>
      <c r="D308" s="55"/>
      <c r="E308" s="233"/>
      <c r="F308" s="234"/>
      <c r="G308" s="51"/>
    </row>
    <row r="309" spans="1:7" s="52" customFormat="1" x14ac:dyDescent="0.3">
      <c r="A309" s="54"/>
      <c r="B309" s="54"/>
      <c r="C309" s="154" t="str">
        <f t="shared" si="39"/>
        <v/>
      </c>
      <c r="D309" s="55"/>
      <c r="E309" s="233"/>
      <c r="F309" s="234"/>
      <c r="G309" s="51"/>
    </row>
    <row r="310" spans="1:7" s="52" customFormat="1" x14ac:dyDescent="0.3">
      <c r="A310" s="54"/>
      <c r="B310" s="54"/>
      <c r="C310" s="154" t="str">
        <f t="shared" si="39"/>
        <v/>
      </c>
      <c r="D310" s="55"/>
      <c r="E310" s="233"/>
      <c r="F310" s="234"/>
      <c r="G310" s="51"/>
    </row>
    <row r="311" spans="1:7" s="52" customFormat="1" ht="15" thickBot="1" x14ac:dyDescent="0.35">
      <c r="A311" s="56"/>
      <c r="B311" s="56"/>
      <c r="C311" s="155" t="str">
        <f t="shared" si="39"/>
        <v/>
      </c>
      <c r="D311" s="57"/>
      <c r="E311" s="235"/>
      <c r="F311" s="236"/>
      <c r="G311" s="51"/>
    </row>
    <row r="312" spans="1:7" s="52" customFormat="1" ht="15" thickBot="1" x14ac:dyDescent="0.35">
      <c r="A312" s="111" t="s">
        <v>27</v>
      </c>
      <c r="B312" s="84">
        <f>SUM(B304:B311)</f>
        <v>45</v>
      </c>
      <c r="C312" s="111" t="str">
        <f xml:space="preserve"> setValueToTime(B312)</f>
        <v>3h45min</v>
      </c>
      <c r="D312" s="120"/>
      <c r="E312" s="227"/>
      <c r="F312" s="228"/>
      <c r="G312" s="51"/>
    </row>
    <row r="313" spans="1:7" s="59" customFormat="1" ht="15" thickBot="1" x14ac:dyDescent="0.35">
      <c r="A313" s="79"/>
      <c r="B313" s="79"/>
      <c r="C313" s="79"/>
      <c r="D313" s="79"/>
      <c r="E313" s="79"/>
      <c r="F313" s="79"/>
      <c r="G313" s="58"/>
    </row>
    <row r="314" spans="1:7" s="47" customFormat="1" ht="30" customHeight="1" thickBot="1" x14ac:dyDescent="0.3">
      <c r="A314" s="81" t="s">
        <v>10</v>
      </c>
      <c r="B314" s="163">
        <v>1</v>
      </c>
      <c r="C314" s="163"/>
      <c r="D314" s="82" t="s">
        <v>13</v>
      </c>
      <c r="E314" s="94">
        <v>44683</v>
      </c>
      <c r="F314" s="126" t="s">
        <v>49</v>
      </c>
      <c r="G314" s="46"/>
    </row>
    <row r="315" spans="1:7" s="47" customFormat="1" ht="30" customHeight="1" thickBot="1" x14ac:dyDescent="0.3">
      <c r="A315" s="80" t="s">
        <v>4</v>
      </c>
      <c r="B315" s="150" t="s">
        <v>38</v>
      </c>
      <c r="C315" s="151"/>
      <c r="D315" s="80" t="s">
        <v>11</v>
      </c>
      <c r="E315" s="229" t="s">
        <v>12</v>
      </c>
      <c r="F315" s="230"/>
      <c r="G315" s="46"/>
    </row>
    <row r="316" spans="1:7" s="52" customFormat="1" ht="27" x14ac:dyDescent="0.3">
      <c r="A316" s="48" t="s">
        <v>51</v>
      </c>
      <c r="B316" s="49">
        <v>15</v>
      </c>
      <c r="C316" s="152" t="str">
        <f xml:space="preserve"> IF(B316="","",setValueToTime(B316))</f>
        <v>1h15min</v>
      </c>
      <c r="D316" s="165" t="s">
        <v>53</v>
      </c>
      <c r="E316" s="231"/>
      <c r="F316" s="232"/>
      <c r="G316" s="51"/>
    </row>
    <row r="317" spans="1:7" s="52" customFormat="1" x14ac:dyDescent="0.3">
      <c r="A317" s="53" t="s">
        <v>14</v>
      </c>
      <c r="B317" s="54">
        <v>21</v>
      </c>
      <c r="C317" s="153" t="str">
        <f t="shared" ref="C317:C323" si="40" xml:space="preserve"> IF(B317="","",setValueToTime(B317))</f>
        <v>1h45min</v>
      </c>
      <c r="D317" s="166" t="s">
        <v>54</v>
      </c>
      <c r="E317" s="233"/>
      <c r="F317" s="234"/>
      <c r="G317" s="51"/>
    </row>
    <row r="318" spans="1:7" s="52" customFormat="1" x14ac:dyDescent="0.3">
      <c r="A318" s="53"/>
      <c r="B318" s="54"/>
      <c r="C318" s="153" t="str">
        <f t="shared" si="40"/>
        <v/>
      </c>
      <c r="D318" s="166"/>
      <c r="E318" s="233"/>
      <c r="F318" s="234"/>
      <c r="G318" s="51"/>
    </row>
    <row r="319" spans="1:7" s="52" customFormat="1" x14ac:dyDescent="0.3">
      <c r="A319" s="53"/>
      <c r="B319" s="54"/>
      <c r="C319" s="153" t="str">
        <f t="shared" si="40"/>
        <v/>
      </c>
      <c r="D319" s="55"/>
      <c r="E319" s="233"/>
      <c r="F319" s="234"/>
      <c r="G319" s="51"/>
    </row>
    <row r="320" spans="1:7" s="52" customFormat="1" x14ac:dyDescent="0.3">
      <c r="A320" s="54"/>
      <c r="B320" s="54"/>
      <c r="C320" s="154" t="str">
        <f t="shared" si="40"/>
        <v/>
      </c>
      <c r="D320" s="55"/>
      <c r="E320" s="233"/>
      <c r="F320" s="234"/>
      <c r="G320" s="51"/>
    </row>
    <row r="321" spans="1:7" s="52" customFormat="1" x14ac:dyDescent="0.3">
      <c r="A321" s="54"/>
      <c r="B321" s="54"/>
      <c r="C321" s="154" t="str">
        <f t="shared" si="40"/>
        <v/>
      </c>
      <c r="D321" s="55"/>
      <c r="E321" s="233"/>
      <c r="F321" s="234"/>
      <c r="G321" s="51"/>
    </row>
    <row r="322" spans="1:7" s="52" customFormat="1" x14ac:dyDescent="0.3">
      <c r="A322" s="54"/>
      <c r="B322" s="54"/>
      <c r="C322" s="154" t="str">
        <f t="shared" si="40"/>
        <v/>
      </c>
      <c r="D322" s="55"/>
      <c r="E322" s="233"/>
      <c r="F322" s="234"/>
      <c r="G322" s="51"/>
    </row>
    <row r="323" spans="1:7" s="52" customFormat="1" ht="15" thickBot="1" x14ac:dyDescent="0.35">
      <c r="A323" s="56"/>
      <c r="B323" s="56"/>
      <c r="C323" s="155" t="str">
        <f t="shared" si="40"/>
        <v/>
      </c>
      <c r="D323" s="57"/>
      <c r="E323" s="235"/>
      <c r="F323" s="236"/>
      <c r="G323" s="51"/>
    </row>
    <row r="324" spans="1:7" s="52" customFormat="1" ht="15" thickBot="1" x14ac:dyDescent="0.35">
      <c r="A324" s="111" t="s">
        <v>27</v>
      </c>
      <c r="B324" s="84">
        <f>SUM(B316:B323)</f>
        <v>36</v>
      </c>
      <c r="C324" s="111" t="str">
        <f xml:space="preserve"> setValueToTime(B324)</f>
        <v>3h</v>
      </c>
      <c r="D324" s="120"/>
      <c r="E324" s="227"/>
      <c r="F324" s="228"/>
      <c r="G324" s="51"/>
    </row>
    <row r="325" spans="1:7" s="59" customFormat="1" x14ac:dyDescent="0.3">
      <c r="A325" s="79"/>
      <c r="B325" s="79"/>
      <c r="C325" s="79"/>
      <c r="D325" s="79"/>
      <c r="E325" s="79"/>
      <c r="F325" s="79"/>
      <c r="G325" s="58"/>
    </row>
  </sheetData>
  <sheetProtection formatRows="0" insertRows="0" insertHyperlinks="0" deleteRows="0" selectLockedCells="1"/>
  <mergeCells count="270">
    <mergeCell ref="E39:F39"/>
    <mergeCell ref="E40:F40"/>
    <mergeCell ref="E41:F41"/>
    <mergeCell ref="E36:F36"/>
    <mergeCell ref="E15:F15"/>
    <mergeCell ref="E16:F16"/>
    <mergeCell ref="E17:F17"/>
    <mergeCell ref="E18:F18"/>
    <mergeCell ref="E19:F19"/>
    <mergeCell ref="E20:F20"/>
    <mergeCell ref="E21:F21"/>
    <mergeCell ref="E22:F22"/>
    <mergeCell ref="E23:F23"/>
    <mergeCell ref="E24:F24"/>
    <mergeCell ref="E27:F27"/>
    <mergeCell ref="E28:F28"/>
    <mergeCell ref="E29:F29"/>
    <mergeCell ref="E30:F30"/>
    <mergeCell ref="E31:F31"/>
    <mergeCell ref="E32:F32"/>
    <mergeCell ref="E33:F33"/>
    <mergeCell ref="E34:F34"/>
    <mergeCell ref="E35:F35"/>
    <mergeCell ref="E42:F42"/>
    <mergeCell ref="E43:F43"/>
    <mergeCell ref="E44:F44"/>
    <mergeCell ref="E45:F45"/>
    <mergeCell ref="E46:F46"/>
    <mergeCell ref="E47:F47"/>
    <mergeCell ref="E60:F60"/>
    <mergeCell ref="E51:F51"/>
    <mergeCell ref="E52:F52"/>
    <mergeCell ref="E53:F53"/>
    <mergeCell ref="E54:F54"/>
    <mergeCell ref="E55:F55"/>
    <mergeCell ref="E56:F56"/>
    <mergeCell ref="E57:F57"/>
    <mergeCell ref="E58:F58"/>
    <mergeCell ref="E59:F59"/>
    <mergeCell ref="E48:F48"/>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 ref="E12:F12"/>
    <mergeCell ref="E3:F3"/>
    <mergeCell ref="E4:F4"/>
    <mergeCell ref="E5:F5"/>
    <mergeCell ref="E6:F6"/>
    <mergeCell ref="E7:F7"/>
    <mergeCell ref="E8:F8"/>
    <mergeCell ref="E9:F9"/>
    <mergeCell ref="E10:F10"/>
    <mergeCell ref="E11:F11"/>
  </mergeCells>
  <phoneticPr fontId="0" type="noConversion"/>
  <conditionalFormatting sqref="B324">
    <cfRule type="cellIs" dxfId="38" priority="36" operator="greaterThan">
      <formula>60</formula>
    </cfRule>
  </conditionalFormatting>
  <conditionalFormatting sqref="B312">
    <cfRule type="cellIs" dxfId="37" priority="35" operator="greaterThan">
      <formula>60</formula>
    </cfRule>
  </conditionalFormatting>
  <conditionalFormatting sqref="B300">
    <cfRule type="cellIs" dxfId="36" priority="34" operator="greaterThan">
      <formula>60</formula>
    </cfRule>
  </conditionalFormatting>
  <conditionalFormatting sqref="B288">
    <cfRule type="cellIs" dxfId="35" priority="33" operator="greaterThan">
      <formula>60</formula>
    </cfRule>
  </conditionalFormatting>
  <conditionalFormatting sqref="B276">
    <cfRule type="cellIs" dxfId="34" priority="32" operator="greaterThan">
      <formula>60</formula>
    </cfRule>
  </conditionalFormatting>
  <conditionalFormatting sqref="B264">
    <cfRule type="cellIs" dxfId="33" priority="31" operator="greaterThan">
      <formula>60</formula>
    </cfRule>
  </conditionalFormatting>
  <conditionalFormatting sqref="B252">
    <cfRule type="cellIs" dxfId="32" priority="30" operator="greaterThan">
      <formula>60</formula>
    </cfRule>
  </conditionalFormatting>
  <conditionalFormatting sqref="B240">
    <cfRule type="cellIs" dxfId="31" priority="29" operator="greaterThan">
      <formula>60</formula>
    </cfRule>
  </conditionalFormatting>
  <conditionalFormatting sqref="B228">
    <cfRule type="cellIs" dxfId="30" priority="28" operator="greaterThan">
      <formula>60</formula>
    </cfRule>
  </conditionalFormatting>
  <conditionalFormatting sqref="B216">
    <cfRule type="cellIs" dxfId="29" priority="27" operator="greaterThan">
      <formula>60</formula>
    </cfRule>
  </conditionalFormatting>
  <conditionalFormatting sqref="B204">
    <cfRule type="cellIs" dxfId="28" priority="26" operator="greaterThan">
      <formula>60</formula>
    </cfRule>
  </conditionalFormatting>
  <conditionalFormatting sqref="B192">
    <cfRule type="cellIs" dxfId="27" priority="25" operator="greaterThan">
      <formula>60</formula>
    </cfRule>
  </conditionalFormatting>
  <conditionalFormatting sqref="B180">
    <cfRule type="cellIs" dxfId="26" priority="24" operator="greaterThan">
      <formula>60</formula>
    </cfRule>
  </conditionalFormatting>
  <conditionalFormatting sqref="B168">
    <cfRule type="cellIs" dxfId="25" priority="23" operator="greaterThan">
      <formula>60</formula>
    </cfRule>
  </conditionalFormatting>
  <conditionalFormatting sqref="B156">
    <cfRule type="cellIs" dxfId="24" priority="22" operator="greaterThan">
      <formula>60</formula>
    </cfRule>
  </conditionalFormatting>
  <conditionalFormatting sqref="B144">
    <cfRule type="cellIs" dxfId="23" priority="21" operator="greaterThan">
      <formula>60</formula>
    </cfRule>
  </conditionalFormatting>
  <conditionalFormatting sqref="B132">
    <cfRule type="cellIs" dxfId="22" priority="20" operator="greaterThan">
      <formula>60</formula>
    </cfRule>
  </conditionalFormatting>
  <conditionalFormatting sqref="B120">
    <cfRule type="cellIs" dxfId="21" priority="19" operator="greaterThan">
      <formula>60</formula>
    </cfRule>
  </conditionalFormatting>
  <conditionalFormatting sqref="B108">
    <cfRule type="cellIs" dxfId="20" priority="18" operator="greaterThan">
      <formula>60</formula>
    </cfRule>
  </conditionalFormatting>
  <conditionalFormatting sqref="B96">
    <cfRule type="cellIs" dxfId="19" priority="17" operator="greaterThan">
      <formula>60</formula>
    </cfRule>
  </conditionalFormatting>
  <conditionalFormatting sqref="B84">
    <cfRule type="cellIs" dxfId="18" priority="16" operator="greaterThan">
      <formula>60</formula>
    </cfRule>
  </conditionalFormatting>
  <conditionalFormatting sqref="B72">
    <cfRule type="cellIs" dxfId="17" priority="15" operator="greaterThan">
      <formula>60</formula>
    </cfRule>
  </conditionalFormatting>
  <conditionalFormatting sqref="B60">
    <cfRule type="cellIs" dxfId="16" priority="14" operator="greaterThan">
      <formula>60</formula>
    </cfRule>
  </conditionalFormatting>
  <conditionalFormatting sqref="B48">
    <cfRule type="cellIs" dxfId="15" priority="9" operator="greaterThan">
      <formula>60</formula>
    </cfRule>
  </conditionalFormatting>
  <conditionalFormatting sqref="B36">
    <cfRule type="cellIs" dxfId="14" priority="8" operator="greaterThan">
      <formula>60</formula>
    </cfRule>
  </conditionalFormatting>
  <conditionalFormatting sqref="B24">
    <cfRule type="cellIs" dxfId="13" priority="7" operator="greaterThan">
      <formula>60</formula>
    </cfRule>
  </conditionalFormatting>
  <conditionalFormatting sqref="B12">
    <cfRule type="cellIs" dxfId="12"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formula1>0</formula1>
      <formula2>60</formula2>
    </dataValidation>
    <dataValidation type="whole" operator="greaterThan" allowBlank="1" showInputMessage="1" showErrorMessage="1" errorTitle="Durée par tranche de 10min" error="Le nombre doit être de type entier" sqref="B316:B323 B304:B311 B160:B167 B280:B287 B268:B275 B256:B263 B244:B251 B232:B239 B220:B227 B16:B23 B196:B203 B208:B215 B172:B179 B4:B11 B184:B191 B292:B299 B148:B155 B124:B131 B136:B143 B88:B95 B100:B107 B112:B119 B52:B59 B28:B35 B40:B47 B64:B71 B76:B83">
      <formula1>0</formula1>
    </dataValidation>
    <dataValidation type="list" allowBlank="1" showInputMessage="1" showErrorMessage="1" sqref="A316:A323 A304:A311 A160:A167 A280:A287 A268:A275 A256:A263 A244:A251 A232:A239 A220:A227 A16:A23 A196:A203 A208:A215 A172:A179 A4:A11 A184:A191 A292:A299 A148:A155 A124:A131 A136:A143 A88:A95 A100:A107 A112:A119 A52:A59 A28:A35 A40:A47 A64:A71 A76:A83">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121"/>
  <sheetViews>
    <sheetView showGridLines="0" zoomScaleNormal="100" zoomScaleSheetLayoutView="98" workbookViewId="0">
      <pane ySplit="1" topLeftCell="A2" activePane="bottomLeft" state="frozen"/>
      <selection pane="bottomLeft" activeCell="A4" sqref="A4"/>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10</v>
      </c>
      <c r="B2" s="164">
        <v>10</v>
      </c>
      <c r="C2" s="164"/>
      <c r="D2" s="157" t="s">
        <v>13</v>
      </c>
      <c r="E2" s="158" t="s">
        <v>122</v>
      </c>
      <c r="F2" s="159" t="s">
        <v>50</v>
      </c>
      <c r="G2" s="46"/>
    </row>
    <row r="3" spans="1:7" s="47" customFormat="1" ht="30" customHeight="1" thickBot="1" x14ac:dyDescent="0.3">
      <c r="A3" s="78" t="s">
        <v>4</v>
      </c>
      <c r="B3" s="161" t="s">
        <v>38</v>
      </c>
      <c r="C3" s="160"/>
      <c r="D3" s="78" t="s">
        <v>11</v>
      </c>
      <c r="E3" s="239" t="s">
        <v>12</v>
      </c>
      <c r="F3" s="240"/>
      <c r="G3" s="46"/>
    </row>
    <row r="4" spans="1:7" s="52" customFormat="1" ht="54" x14ac:dyDescent="0.3">
      <c r="A4" s="48" t="s">
        <v>57</v>
      </c>
      <c r="B4" s="49">
        <v>25</v>
      </c>
      <c r="C4" s="152" t="str">
        <f xml:space="preserve"> IF(B4="","",setValueToTime(B4))</f>
        <v>2h5min</v>
      </c>
      <c r="D4" s="165" t="s">
        <v>162</v>
      </c>
      <c r="E4" s="241" t="s">
        <v>164</v>
      </c>
      <c r="F4" s="232"/>
      <c r="G4" s="51"/>
    </row>
    <row r="5" spans="1:7" s="52" customFormat="1" ht="40.5" x14ac:dyDescent="0.3">
      <c r="A5" s="53" t="s">
        <v>51</v>
      </c>
      <c r="B5" s="54">
        <v>4</v>
      </c>
      <c r="C5" s="153" t="str">
        <f t="shared" ref="C5:C11" si="0" xml:space="preserve"> IF(B5="","",setValueToTime(B5))</f>
        <v>0h20min</v>
      </c>
      <c r="D5" s="166" t="s">
        <v>163</v>
      </c>
      <c r="E5" s="242" t="s">
        <v>165</v>
      </c>
      <c r="F5" s="234"/>
      <c r="G5" s="51"/>
    </row>
    <row r="6" spans="1:7" s="52" customFormat="1" x14ac:dyDescent="0.3">
      <c r="A6" s="53" t="s">
        <v>44</v>
      </c>
      <c r="B6" s="54">
        <v>1</v>
      </c>
      <c r="C6" s="153" t="str">
        <f t="shared" si="0"/>
        <v>0h5min</v>
      </c>
      <c r="D6" s="55" t="s">
        <v>149</v>
      </c>
      <c r="E6" s="242" t="s">
        <v>166</v>
      </c>
      <c r="F6" s="234"/>
      <c r="G6" s="51"/>
    </row>
    <row r="7" spans="1:7" s="52" customFormat="1" ht="27" x14ac:dyDescent="0.3">
      <c r="A7" s="53" t="s">
        <v>15</v>
      </c>
      <c r="B7" s="54">
        <v>4</v>
      </c>
      <c r="C7" s="153" t="str">
        <f t="shared" si="0"/>
        <v>0h20min</v>
      </c>
      <c r="D7" s="55" t="s">
        <v>150</v>
      </c>
      <c r="E7" s="233"/>
      <c r="F7" s="234"/>
      <c r="G7" s="51"/>
    </row>
    <row r="8" spans="1:7" s="52" customFormat="1" x14ac:dyDescent="0.3">
      <c r="A8" s="54"/>
      <c r="B8" s="54"/>
      <c r="C8" s="154" t="str">
        <f t="shared" si="0"/>
        <v/>
      </c>
      <c r="D8" s="55"/>
      <c r="E8" s="233"/>
      <c r="F8" s="234"/>
      <c r="G8" s="51"/>
    </row>
    <row r="9" spans="1:7" s="52" customFormat="1" x14ac:dyDescent="0.3">
      <c r="A9" s="54"/>
      <c r="B9" s="54"/>
      <c r="C9" s="154" t="str">
        <f t="shared" si="0"/>
        <v/>
      </c>
      <c r="D9" s="55"/>
      <c r="E9" s="233"/>
      <c r="F9" s="234"/>
      <c r="G9" s="51"/>
    </row>
    <row r="10" spans="1:7" s="52" customFormat="1" x14ac:dyDescent="0.3">
      <c r="A10" s="54"/>
      <c r="B10" s="54"/>
      <c r="C10" s="154" t="str">
        <f t="shared" si="0"/>
        <v/>
      </c>
      <c r="D10" s="55"/>
      <c r="E10" s="233"/>
      <c r="F10" s="234"/>
      <c r="G10" s="51"/>
    </row>
    <row r="11" spans="1:7" s="52" customFormat="1" ht="15" thickBot="1" x14ac:dyDescent="0.35">
      <c r="A11" s="56"/>
      <c r="B11" s="56"/>
      <c r="C11" s="155" t="str">
        <f t="shared" si="0"/>
        <v/>
      </c>
      <c r="D11" s="57"/>
      <c r="E11" s="235"/>
      <c r="F11" s="236"/>
      <c r="G11" s="51"/>
    </row>
    <row r="12" spans="1:7" s="52" customFormat="1" ht="15" thickBot="1" x14ac:dyDescent="0.35">
      <c r="A12" s="162" t="s">
        <v>27</v>
      </c>
      <c r="B12" s="83">
        <f>SUM(B4:B11)</f>
        <v>34</v>
      </c>
      <c r="C12" s="162" t="str">
        <f xml:space="preserve"> setValueToTime(B12)</f>
        <v>2h50min</v>
      </c>
      <c r="D12" s="121"/>
      <c r="E12" s="237"/>
      <c r="F12" s="238"/>
      <c r="G12" s="51"/>
    </row>
    <row r="13" spans="1:7" s="59" customFormat="1" ht="15" thickBot="1" x14ac:dyDescent="0.35">
      <c r="A13" s="77"/>
      <c r="B13" s="77"/>
      <c r="C13" s="77"/>
      <c r="D13" s="77"/>
      <c r="E13" s="77"/>
      <c r="F13" s="77"/>
      <c r="G13" s="58"/>
    </row>
    <row r="14" spans="1:7" s="47" customFormat="1" ht="30" customHeight="1" thickBot="1" x14ac:dyDescent="0.3">
      <c r="A14" s="156" t="s">
        <v>10</v>
      </c>
      <c r="B14" s="164">
        <v>9</v>
      </c>
      <c r="C14" s="164"/>
      <c r="D14" s="157" t="s">
        <v>13</v>
      </c>
      <c r="E14" s="158" t="s">
        <v>122</v>
      </c>
      <c r="F14" s="159" t="s">
        <v>49</v>
      </c>
      <c r="G14" s="46"/>
    </row>
    <row r="15" spans="1:7" s="47" customFormat="1" ht="30" customHeight="1" thickBot="1" x14ac:dyDescent="0.3">
      <c r="A15" s="78" t="s">
        <v>4</v>
      </c>
      <c r="B15" s="161" t="s">
        <v>38</v>
      </c>
      <c r="C15" s="160"/>
      <c r="D15" s="78" t="s">
        <v>11</v>
      </c>
      <c r="E15" s="239" t="s">
        <v>12</v>
      </c>
      <c r="F15" s="240"/>
      <c r="G15" s="46"/>
    </row>
    <row r="16" spans="1:7" s="52" customFormat="1" ht="94.5" x14ac:dyDescent="0.3">
      <c r="A16" s="48" t="s">
        <v>57</v>
      </c>
      <c r="B16" s="49">
        <v>45</v>
      </c>
      <c r="C16" s="152" t="str">
        <f xml:space="preserve"> IF(B16="","",setValueToTime(B16))</f>
        <v>3h45min</v>
      </c>
      <c r="D16" s="165" t="s">
        <v>160</v>
      </c>
      <c r="E16" s="241" t="s">
        <v>161</v>
      </c>
      <c r="F16" s="232"/>
      <c r="G16" s="51"/>
    </row>
    <row r="17" spans="1:7" s="52" customFormat="1" x14ac:dyDescent="0.3">
      <c r="A17" s="53"/>
      <c r="B17" s="54"/>
      <c r="C17" s="153" t="str">
        <f t="shared" ref="C17:C23" si="1" xml:space="preserve"> IF(B17="","",setValueToTime(B17))</f>
        <v/>
      </c>
      <c r="D17" s="55"/>
      <c r="E17" s="242" t="s">
        <v>166</v>
      </c>
      <c r="F17" s="234"/>
      <c r="G17" s="51"/>
    </row>
    <row r="18" spans="1:7" s="52" customFormat="1" x14ac:dyDescent="0.3">
      <c r="A18" s="53"/>
      <c r="B18" s="54"/>
      <c r="C18" s="153" t="str">
        <f t="shared" si="1"/>
        <v/>
      </c>
      <c r="D18" s="55"/>
      <c r="E18" s="233"/>
      <c r="F18" s="234"/>
      <c r="G18" s="51"/>
    </row>
    <row r="19" spans="1:7" s="52" customFormat="1" x14ac:dyDescent="0.3">
      <c r="A19" s="53"/>
      <c r="B19" s="54"/>
      <c r="C19" s="153" t="str">
        <f t="shared" si="1"/>
        <v/>
      </c>
      <c r="D19" s="55"/>
      <c r="E19" s="233"/>
      <c r="F19" s="234"/>
      <c r="G19" s="51"/>
    </row>
    <row r="20" spans="1:7" s="52" customFormat="1" x14ac:dyDescent="0.3">
      <c r="A20" s="54"/>
      <c r="B20" s="54"/>
      <c r="C20" s="154" t="str">
        <f t="shared" si="1"/>
        <v/>
      </c>
      <c r="D20" s="55"/>
      <c r="E20" s="233"/>
      <c r="F20" s="234"/>
      <c r="G20" s="51"/>
    </row>
    <row r="21" spans="1:7" s="52" customFormat="1" x14ac:dyDescent="0.3">
      <c r="A21" s="54"/>
      <c r="B21" s="54"/>
      <c r="C21" s="154" t="str">
        <f t="shared" si="1"/>
        <v/>
      </c>
      <c r="D21" s="55"/>
      <c r="E21" s="233"/>
      <c r="F21" s="234"/>
      <c r="G21" s="51"/>
    </row>
    <row r="22" spans="1:7" s="52" customFormat="1" x14ac:dyDescent="0.3">
      <c r="A22" s="54"/>
      <c r="B22" s="54"/>
      <c r="C22" s="154" t="str">
        <f t="shared" si="1"/>
        <v/>
      </c>
      <c r="D22" s="55"/>
      <c r="E22" s="233"/>
      <c r="F22" s="234"/>
      <c r="G22" s="51"/>
    </row>
    <row r="23" spans="1:7" s="52" customFormat="1" ht="15" thickBot="1" x14ac:dyDescent="0.35">
      <c r="A23" s="56"/>
      <c r="B23" s="56"/>
      <c r="C23" s="155" t="str">
        <f t="shared" si="1"/>
        <v/>
      </c>
      <c r="D23" s="57"/>
      <c r="E23" s="235"/>
      <c r="F23" s="236"/>
      <c r="G23" s="51"/>
    </row>
    <row r="24" spans="1:7" s="52" customFormat="1" ht="15" thickBot="1" x14ac:dyDescent="0.35">
      <c r="A24" s="162" t="s">
        <v>27</v>
      </c>
      <c r="B24" s="83">
        <f>SUM(B16:B23)</f>
        <v>45</v>
      </c>
      <c r="C24" s="162" t="str">
        <f xml:space="preserve"> setValueToTime(B24)</f>
        <v>3h45min</v>
      </c>
      <c r="D24" s="121"/>
      <c r="E24" s="237"/>
      <c r="F24" s="238"/>
      <c r="G24" s="51"/>
    </row>
    <row r="25" spans="1:7" s="59" customFormat="1" ht="15" thickBot="1" x14ac:dyDescent="0.35">
      <c r="A25" s="77"/>
      <c r="B25" s="77"/>
      <c r="C25" s="77"/>
      <c r="D25" s="77"/>
      <c r="E25" s="77"/>
      <c r="F25" s="77"/>
      <c r="G25" s="58"/>
    </row>
    <row r="26" spans="1:7" s="47" customFormat="1" ht="30" customHeight="1" thickBot="1" x14ac:dyDescent="0.3">
      <c r="A26" s="156" t="s">
        <v>10</v>
      </c>
      <c r="B26" s="164">
        <v>8</v>
      </c>
      <c r="C26" s="164"/>
      <c r="D26" s="157" t="s">
        <v>13</v>
      </c>
      <c r="E26" s="158" t="s">
        <v>125</v>
      </c>
      <c r="F26" s="159" t="s">
        <v>49</v>
      </c>
      <c r="G26" s="46"/>
    </row>
    <row r="27" spans="1:7" s="47" customFormat="1" ht="30" customHeight="1" thickBot="1" x14ac:dyDescent="0.3">
      <c r="A27" s="78" t="s">
        <v>4</v>
      </c>
      <c r="B27" s="161" t="s">
        <v>38</v>
      </c>
      <c r="C27" s="160"/>
      <c r="D27" s="78" t="s">
        <v>11</v>
      </c>
      <c r="E27" s="239" t="s">
        <v>12</v>
      </c>
      <c r="F27" s="240"/>
      <c r="G27" s="46"/>
    </row>
    <row r="28" spans="1:7" s="52" customFormat="1" ht="54" x14ac:dyDescent="0.3">
      <c r="A28" s="48" t="s">
        <v>42</v>
      </c>
      <c r="B28" s="49">
        <v>36</v>
      </c>
      <c r="C28" s="152" t="str">
        <f xml:space="preserve"> IF(B28="","",setValueToTime(B28))</f>
        <v>3h</v>
      </c>
      <c r="D28" s="165" t="s">
        <v>159</v>
      </c>
      <c r="E28" s="241" t="s">
        <v>158</v>
      </c>
      <c r="F28" s="232"/>
      <c r="G28" s="51"/>
    </row>
    <row r="29" spans="1:7" s="52" customFormat="1" x14ac:dyDescent="0.3">
      <c r="A29" s="53"/>
      <c r="B29" s="54"/>
      <c r="C29" s="153" t="str">
        <f t="shared" ref="C29:C35" si="2" xml:space="preserve"> IF(B29="","",setValueToTime(B29))</f>
        <v/>
      </c>
      <c r="D29" s="55"/>
      <c r="E29" s="233"/>
      <c r="F29" s="234"/>
      <c r="G29" s="51"/>
    </row>
    <row r="30" spans="1:7" s="52" customFormat="1" x14ac:dyDescent="0.3">
      <c r="A30" s="53"/>
      <c r="B30" s="54"/>
      <c r="C30" s="153" t="str">
        <f t="shared" si="2"/>
        <v/>
      </c>
      <c r="D30" s="55"/>
      <c r="E30" s="233"/>
      <c r="F30" s="234"/>
      <c r="G30" s="51"/>
    </row>
    <row r="31" spans="1:7" s="52" customFormat="1" x14ac:dyDescent="0.3">
      <c r="A31" s="53"/>
      <c r="B31" s="54"/>
      <c r="C31" s="153" t="str">
        <f t="shared" si="2"/>
        <v/>
      </c>
      <c r="D31" s="55"/>
      <c r="E31" s="233"/>
      <c r="F31" s="234"/>
      <c r="G31" s="51"/>
    </row>
    <row r="32" spans="1:7" s="52" customFormat="1" x14ac:dyDescent="0.3">
      <c r="A32" s="54"/>
      <c r="B32" s="54"/>
      <c r="C32" s="154" t="str">
        <f t="shared" si="2"/>
        <v/>
      </c>
      <c r="D32" s="55"/>
      <c r="E32" s="233"/>
      <c r="F32" s="234"/>
      <c r="G32" s="51"/>
    </row>
    <row r="33" spans="1:7" s="52" customFormat="1" x14ac:dyDescent="0.3">
      <c r="A33" s="54"/>
      <c r="B33" s="54"/>
      <c r="C33" s="154" t="str">
        <f t="shared" si="2"/>
        <v/>
      </c>
      <c r="D33" s="55"/>
      <c r="E33" s="233"/>
      <c r="F33" s="234"/>
      <c r="G33" s="51"/>
    </row>
    <row r="34" spans="1:7" s="52" customFormat="1" x14ac:dyDescent="0.3">
      <c r="A34" s="54"/>
      <c r="B34" s="54"/>
      <c r="C34" s="154" t="str">
        <f t="shared" si="2"/>
        <v/>
      </c>
      <c r="D34" s="55"/>
      <c r="E34" s="233"/>
      <c r="F34" s="234"/>
      <c r="G34" s="51"/>
    </row>
    <row r="35" spans="1:7" s="52" customFormat="1" ht="15" thickBot="1" x14ac:dyDescent="0.35">
      <c r="A35" s="56"/>
      <c r="B35" s="56"/>
      <c r="C35" s="155" t="str">
        <f t="shared" si="2"/>
        <v/>
      </c>
      <c r="D35" s="57"/>
      <c r="E35" s="235"/>
      <c r="F35" s="236"/>
      <c r="G35" s="51"/>
    </row>
    <row r="36" spans="1:7" s="52" customFormat="1" ht="15" thickBot="1" x14ac:dyDescent="0.35">
      <c r="A36" s="162" t="s">
        <v>27</v>
      </c>
      <c r="B36" s="83">
        <f>SUM(B28:B35)</f>
        <v>36</v>
      </c>
      <c r="C36" s="162" t="str">
        <f xml:space="preserve"> setValueToTime(B36)</f>
        <v>3h</v>
      </c>
      <c r="D36" s="121"/>
      <c r="E36" s="237"/>
      <c r="F36" s="238"/>
      <c r="G36" s="51"/>
    </row>
    <row r="37" spans="1:7" s="59" customFormat="1" ht="15" thickBot="1" x14ac:dyDescent="0.35">
      <c r="A37" s="77"/>
      <c r="B37" s="77"/>
      <c r="C37" s="77"/>
      <c r="D37" s="77"/>
      <c r="E37" s="77"/>
      <c r="F37" s="77"/>
      <c r="G37" s="58"/>
    </row>
    <row r="38" spans="1:7" s="47" customFormat="1" ht="30" customHeight="1" thickBot="1" x14ac:dyDescent="0.3">
      <c r="A38" s="156" t="s">
        <v>10</v>
      </c>
      <c r="B38" s="164">
        <v>7</v>
      </c>
      <c r="C38" s="164"/>
      <c r="D38" s="157" t="s">
        <v>13</v>
      </c>
      <c r="E38" s="158" t="s">
        <v>127</v>
      </c>
      <c r="F38" s="159" t="s">
        <v>50</v>
      </c>
      <c r="G38" s="46"/>
    </row>
    <row r="39" spans="1:7" s="47" customFormat="1" ht="30" customHeight="1" thickBot="1" x14ac:dyDescent="0.3">
      <c r="A39" s="78" t="s">
        <v>4</v>
      </c>
      <c r="B39" s="161" t="s">
        <v>38</v>
      </c>
      <c r="C39" s="160"/>
      <c r="D39" s="78" t="s">
        <v>11</v>
      </c>
      <c r="E39" s="239" t="s">
        <v>12</v>
      </c>
      <c r="F39" s="240"/>
      <c r="G39" s="46"/>
    </row>
    <row r="40" spans="1:7" s="52" customFormat="1" ht="40.5" x14ac:dyDescent="0.3">
      <c r="A40" s="48" t="s">
        <v>42</v>
      </c>
      <c r="B40" s="49">
        <v>20</v>
      </c>
      <c r="C40" s="152" t="str">
        <f xml:space="preserve"> IF(B40="","",setValueToTime(B40))</f>
        <v>1h40min</v>
      </c>
      <c r="D40" s="165" t="s">
        <v>154</v>
      </c>
      <c r="E40" s="241" t="s">
        <v>153</v>
      </c>
      <c r="F40" s="232"/>
      <c r="G40" s="51"/>
    </row>
    <row r="41" spans="1:7" s="52" customFormat="1" ht="27" x14ac:dyDescent="0.3">
      <c r="A41" s="53" t="s">
        <v>15</v>
      </c>
      <c r="B41" s="54">
        <v>4</v>
      </c>
      <c r="C41" s="153" t="str">
        <f t="shared" ref="C41:C47" si="3" xml:space="preserve"> IF(B41="","",setValueToTime(B41))</f>
        <v>0h20min</v>
      </c>
      <c r="D41" s="166" t="s">
        <v>150</v>
      </c>
      <c r="E41" s="233"/>
      <c r="F41" s="234"/>
      <c r="G41" s="51"/>
    </row>
    <row r="42" spans="1:7" s="52" customFormat="1" ht="40.5" x14ac:dyDescent="0.3">
      <c r="A42" s="53" t="s">
        <v>51</v>
      </c>
      <c r="B42" s="54">
        <v>4</v>
      </c>
      <c r="C42" s="153" t="str">
        <f t="shared" si="3"/>
        <v>0h20min</v>
      </c>
      <c r="D42" s="166" t="s">
        <v>156</v>
      </c>
      <c r="E42" s="233"/>
      <c r="F42" s="234"/>
      <c r="G42" s="51"/>
    </row>
    <row r="43" spans="1:7" s="52" customFormat="1" ht="27" x14ac:dyDescent="0.3">
      <c r="A43" s="53" t="s">
        <v>14</v>
      </c>
      <c r="B43" s="54">
        <v>7</v>
      </c>
      <c r="C43" s="153" t="str">
        <f t="shared" si="3"/>
        <v>0h35min</v>
      </c>
      <c r="D43" s="166" t="s">
        <v>155</v>
      </c>
      <c r="E43" s="233"/>
      <c r="F43" s="234"/>
      <c r="G43" s="51"/>
    </row>
    <row r="44" spans="1:7" s="52" customFormat="1" x14ac:dyDescent="0.3">
      <c r="A44" s="54" t="s">
        <v>44</v>
      </c>
      <c r="B44" s="54">
        <v>1</v>
      </c>
      <c r="C44" s="154" t="str">
        <f t="shared" si="3"/>
        <v>0h5min</v>
      </c>
      <c r="D44" s="166" t="s">
        <v>149</v>
      </c>
      <c r="E44" s="233"/>
      <c r="F44" s="234"/>
      <c r="G44" s="51"/>
    </row>
    <row r="45" spans="1:7" s="52" customFormat="1" x14ac:dyDescent="0.3">
      <c r="A45" s="54"/>
      <c r="B45" s="54"/>
      <c r="C45" s="154" t="str">
        <f t="shared" si="3"/>
        <v/>
      </c>
      <c r="D45" s="55"/>
      <c r="E45" s="233"/>
      <c r="F45" s="234"/>
      <c r="G45" s="51"/>
    </row>
    <row r="46" spans="1:7" s="52" customFormat="1" x14ac:dyDescent="0.3">
      <c r="A46" s="54"/>
      <c r="B46" s="54"/>
      <c r="C46" s="154" t="str">
        <f t="shared" si="3"/>
        <v/>
      </c>
      <c r="D46" s="55"/>
      <c r="E46" s="233"/>
      <c r="F46" s="234"/>
      <c r="G46" s="51"/>
    </row>
    <row r="47" spans="1:7" s="52" customFormat="1" ht="15" thickBot="1" x14ac:dyDescent="0.35">
      <c r="A47" s="56"/>
      <c r="B47" s="56"/>
      <c r="C47" s="155" t="str">
        <f t="shared" si="3"/>
        <v/>
      </c>
      <c r="D47" s="57"/>
      <c r="E47" s="235"/>
      <c r="F47" s="236"/>
      <c r="G47" s="51"/>
    </row>
    <row r="48" spans="1:7" s="52" customFormat="1" ht="15" thickBot="1" x14ac:dyDescent="0.35">
      <c r="A48" s="162" t="s">
        <v>27</v>
      </c>
      <c r="B48" s="83">
        <f>SUM(B40:B47)</f>
        <v>36</v>
      </c>
      <c r="C48" s="162" t="str">
        <f xml:space="preserve"> setValueToTime(B48)</f>
        <v>3h</v>
      </c>
      <c r="D48" s="121"/>
      <c r="E48" s="237"/>
      <c r="F48" s="238"/>
      <c r="G48" s="51"/>
    </row>
    <row r="49" spans="1:7" s="59" customFormat="1" ht="15" thickBot="1" x14ac:dyDescent="0.35">
      <c r="A49" s="77"/>
      <c r="B49" s="77"/>
      <c r="C49" s="77"/>
      <c r="D49" s="77"/>
      <c r="E49" s="77"/>
      <c r="F49" s="77"/>
      <c r="G49" s="58"/>
    </row>
    <row r="50" spans="1:7" s="47" customFormat="1" ht="30" customHeight="1" thickBot="1" x14ac:dyDescent="0.3">
      <c r="A50" s="156" t="s">
        <v>10</v>
      </c>
      <c r="B50" s="164">
        <v>6</v>
      </c>
      <c r="C50" s="164"/>
      <c r="D50" s="157" t="s">
        <v>13</v>
      </c>
      <c r="E50" s="158" t="s">
        <v>127</v>
      </c>
      <c r="F50" s="159" t="s">
        <v>49</v>
      </c>
      <c r="G50" s="46"/>
    </row>
    <row r="51" spans="1:7" s="47" customFormat="1" ht="30" customHeight="1" thickBot="1" x14ac:dyDescent="0.3">
      <c r="A51" s="78" t="s">
        <v>4</v>
      </c>
      <c r="B51" s="161" t="s">
        <v>38</v>
      </c>
      <c r="C51" s="160"/>
      <c r="D51" s="78" t="s">
        <v>11</v>
      </c>
      <c r="E51" s="239" t="s">
        <v>12</v>
      </c>
      <c r="F51" s="240"/>
      <c r="G51" s="46"/>
    </row>
    <row r="52" spans="1:7" s="52" customFormat="1" x14ac:dyDescent="0.3">
      <c r="A52" s="48" t="s">
        <v>41</v>
      </c>
      <c r="B52" s="49">
        <v>10</v>
      </c>
      <c r="C52" s="152" t="str">
        <f xml:space="preserve"> IF(B52="","",setValueToTime(B52))</f>
        <v>0h50min</v>
      </c>
      <c r="D52" s="165" t="s">
        <v>152</v>
      </c>
      <c r="E52" s="231"/>
      <c r="F52" s="232"/>
      <c r="G52" s="51"/>
    </row>
    <row r="53" spans="1:7" s="52" customFormat="1" ht="27" x14ac:dyDescent="0.3">
      <c r="A53" s="53" t="s">
        <v>14</v>
      </c>
      <c r="B53" s="54">
        <v>26</v>
      </c>
      <c r="C53" s="153" t="str">
        <f t="shared" ref="C53:C59" si="4" xml:space="preserve"> IF(B53="","",setValueToTime(B53))</f>
        <v>2h10min</v>
      </c>
      <c r="D53" s="166" t="s">
        <v>155</v>
      </c>
      <c r="E53" s="233"/>
      <c r="F53" s="234"/>
      <c r="G53" s="51"/>
    </row>
    <row r="54" spans="1:7" s="52" customFormat="1" x14ac:dyDescent="0.3">
      <c r="A54" s="53"/>
      <c r="B54" s="54"/>
      <c r="C54" s="153" t="str">
        <f t="shared" si="4"/>
        <v/>
      </c>
      <c r="D54" s="55"/>
      <c r="E54" s="233"/>
      <c r="F54" s="234"/>
      <c r="G54" s="51"/>
    </row>
    <row r="55" spans="1:7" s="52" customFormat="1" x14ac:dyDescent="0.3">
      <c r="A55" s="53"/>
      <c r="B55" s="54"/>
      <c r="C55" s="153" t="str">
        <f t="shared" si="4"/>
        <v/>
      </c>
      <c r="D55" s="55"/>
      <c r="E55" s="233"/>
      <c r="F55" s="234"/>
      <c r="G55" s="51"/>
    </row>
    <row r="56" spans="1:7" s="52" customFormat="1" x14ac:dyDescent="0.3">
      <c r="A56" s="54"/>
      <c r="B56" s="54"/>
      <c r="C56" s="154" t="str">
        <f t="shared" si="4"/>
        <v/>
      </c>
      <c r="D56" s="55"/>
      <c r="E56" s="233"/>
      <c r="F56" s="234"/>
      <c r="G56" s="51"/>
    </row>
    <row r="57" spans="1:7" s="52" customFormat="1" x14ac:dyDescent="0.3">
      <c r="A57" s="54"/>
      <c r="B57" s="54"/>
      <c r="C57" s="154" t="str">
        <f t="shared" si="4"/>
        <v/>
      </c>
      <c r="D57" s="55"/>
      <c r="E57" s="233"/>
      <c r="F57" s="234"/>
      <c r="G57" s="51"/>
    </row>
    <row r="58" spans="1:7" s="52" customFormat="1" x14ac:dyDescent="0.3">
      <c r="A58" s="54"/>
      <c r="B58" s="54"/>
      <c r="C58" s="154" t="str">
        <f t="shared" si="4"/>
        <v/>
      </c>
      <c r="D58" s="55"/>
      <c r="E58" s="233"/>
      <c r="F58" s="234"/>
      <c r="G58" s="51"/>
    </row>
    <row r="59" spans="1:7" s="52" customFormat="1" ht="15" thickBot="1" x14ac:dyDescent="0.35">
      <c r="A59" s="56"/>
      <c r="B59" s="56"/>
      <c r="C59" s="155" t="str">
        <f t="shared" si="4"/>
        <v/>
      </c>
      <c r="D59" s="57"/>
      <c r="E59" s="235"/>
      <c r="F59" s="236"/>
      <c r="G59" s="51"/>
    </row>
    <row r="60" spans="1:7" s="52" customFormat="1" ht="15" thickBot="1" x14ac:dyDescent="0.35">
      <c r="A60" s="162" t="s">
        <v>27</v>
      </c>
      <c r="B60" s="83">
        <f>SUM(B52:B59)</f>
        <v>36</v>
      </c>
      <c r="C60" s="162" t="str">
        <f xml:space="preserve"> setValueToTime(B60)</f>
        <v>3h</v>
      </c>
      <c r="D60" s="121"/>
      <c r="E60" s="237"/>
      <c r="F60" s="238"/>
      <c r="G60" s="51"/>
    </row>
    <row r="61" spans="1:7" s="59" customFormat="1" ht="15" thickBot="1" x14ac:dyDescent="0.35">
      <c r="A61" s="77"/>
      <c r="B61" s="77"/>
      <c r="C61" s="77"/>
      <c r="D61" s="77"/>
      <c r="E61" s="77"/>
      <c r="F61" s="77"/>
      <c r="G61" s="58"/>
    </row>
    <row r="62" spans="1:7" s="47" customFormat="1" ht="30" customHeight="1" thickBot="1" x14ac:dyDescent="0.3">
      <c r="A62" s="156" t="s">
        <v>10</v>
      </c>
      <c r="B62" s="164">
        <v>5</v>
      </c>
      <c r="C62" s="164"/>
      <c r="D62" s="157" t="s">
        <v>13</v>
      </c>
      <c r="E62" s="158" t="s">
        <v>130</v>
      </c>
      <c r="F62" s="159" t="s">
        <v>50</v>
      </c>
      <c r="G62" s="46"/>
    </row>
    <row r="63" spans="1:7" s="47" customFormat="1" ht="30" customHeight="1" thickBot="1" x14ac:dyDescent="0.3">
      <c r="A63" s="78" t="s">
        <v>4</v>
      </c>
      <c r="B63" s="161" t="s">
        <v>38</v>
      </c>
      <c r="C63" s="160"/>
      <c r="D63" s="78" t="s">
        <v>11</v>
      </c>
      <c r="E63" s="239" t="s">
        <v>12</v>
      </c>
      <c r="F63" s="240"/>
      <c r="G63" s="46"/>
    </row>
    <row r="64" spans="1:7" s="52" customFormat="1" ht="54" x14ac:dyDescent="0.3">
      <c r="A64" s="48" t="s">
        <v>57</v>
      </c>
      <c r="B64" s="49">
        <v>25</v>
      </c>
      <c r="C64" s="152" t="str">
        <f xml:space="preserve"> IF(B64="","",setValueToTime(B64))</f>
        <v>2h5min</v>
      </c>
      <c r="D64" s="165" t="s">
        <v>148</v>
      </c>
      <c r="E64" s="231"/>
      <c r="F64" s="232"/>
      <c r="G64" s="51"/>
    </row>
    <row r="65" spans="1:7" s="52" customFormat="1" ht="27" x14ac:dyDescent="0.3">
      <c r="A65" s="53" t="s">
        <v>15</v>
      </c>
      <c r="B65" s="54">
        <v>5</v>
      </c>
      <c r="C65" s="153" t="str">
        <f t="shared" ref="C65:C71" si="5" xml:space="preserve"> IF(B65="","",setValueToTime(B65))</f>
        <v>0h25min</v>
      </c>
      <c r="D65" s="166" t="s">
        <v>150</v>
      </c>
      <c r="E65" s="233"/>
      <c r="F65" s="234"/>
      <c r="G65" s="51"/>
    </row>
    <row r="66" spans="1:7" s="52" customFormat="1" x14ac:dyDescent="0.3">
      <c r="A66" s="53" t="s">
        <v>14</v>
      </c>
      <c r="B66" s="54">
        <v>5</v>
      </c>
      <c r="C66" s="153" t="str">
        <f t="shared" si="5"/>
        <v>0h25min</v>
      </c>
      <c r="D66" s="166" t="s">
        <v>151</v>
      </c>
      <c r="E66" s="233"/>
      <c r="F66" s="234"/>
      <c r="G66" s="51"/>
    </row>
    <row r="67" spans="1:7" s="52" customFormat="1" x14ac:dyDescent="0.3">
      <c r="A67" s="53" t="s">
        <v>44</v>
      </c>
      <c r="B67" s="54">
        <v>1</v>
      </c>
      <c r="C67" s="153" t="str">
        <f t="shared" si="5"/>
        <v>0h5min</v>
      </c>
      <c r="D67" s="166" t="s">
        <v>149</v>
      </c>
      <c r="E67" s="233"/>
      <c r="F67" s="234"/>
      <c r="G67" s="51"/>
    </row>
    <row r="68" spans="1:7" s="52" customFormat="1" x14ac:dyDescent="0.3">
      <c r="A68" s="54"/>
      <c r="B68" s="54"/>
      <c r="C68" s="154" t="str">
        <f t="shared" si="5"/>
        <v/>
      </c>
      <c r="D68" s="55"/>
      <c r="E68" s="233"/>
      <c r="F68" s="234"/>
      <c r="G68" s="51"/>
    </row>
    <row r="69" spans="1:7" s="52" customFormat="1" x14ac:dyDescent="0.3">
      <c r="A69" s="54"/>
      <c r="B69" s="54"/>
      <c r="C69" s="154" t="str">
        <f t="shared" si="5"/>
        <v/>
      </c>
      <c r="D69" s="55"/>
      <c r="E69" s="233"/>
      <c r="F69" s="234"/>
      <c r="G69" s="51"/>
    </row>
    <row r="70" spans="1:7" s="52" customFormat="1" x14ac:dyDescent="0.3">
      <c r="A70" s="54"/>
      <c r="B70" s="54"/>
      <c r="C70" s="154" t="str">
        <f t="shared" si="5"/>
        <v/>
      </c>
      <c r="D70" s="55"/>
      <c r="E70" s="233"/>
      <c r="F70" s="234"/>
      <c r="G70" s="51"/>
    </row>
    <row r="71" spans="1:7" s="52" customFormat="1" ht="15" thickBot="1" x14ac:dyDescent="0.35">
      <c r="A71" s="56"/>
      <c r="B71" s="56"/>
      <c r="C71" s="155" t="str">
        <f t="shared" si="5"/>
        <v/>
      </c>
      <c r="D71" s="57"/>
      <c r="E71" s="235"/>
      <c r="F71" s="236"/>
      <c r="G71" s="51"/>
    </row>
    <row r="72" spans="1:7" s="52" customFormat="1" ht="15" thickBot="1" x14ac:dyDescent="0.35">
      <c r="A72" s="162" t="s">
        <v>27</v>
      </c>
      <c r="B72" s="83">
        <f>SUM(B64:B71)</f>
        <v>36</v>
      </c>
      <c r="C72" s="162" t="str">
        <f xml:space="preserve"> setValueToTime(B72)</f>
        <v>3h</v>
      </c>
      <c r="D72" s="121"/>
      <c r="E72" s="237"/>
      <c r="F72" s="238"/>
      <c r="G72" s="51"/>
    </row>
    <row r="73" spans="1:7" s="59" customFormat="1" ht="15" thickBot="1" x14ac:dyDescent="0.35">
      <c r="A73" s="77"/>
      <c r="B73" s="77"/>
      <c r="C73" s="77"/>
      <c r="D73" s="77"/>
      <c r="E73" s="77"/>
      <c r="F73" s="77"/>
      <c r="G73" s="58"/>
    </row>
    <row r="74" spans="1:7" s="47" customFormat="1" ht="30" customHeight="1" thickBot="1" x14ac:dyDescent="0.3">
      <c r="A74" s="156" t="s">
        <v>10</v>
      </c>
      <c r="B74" s="164">
        <v>4</v>
      </c>
      <c r="C74" s="164"/>
      <c r="D74" s="157" t="s">
        <v>13</v>
      </c>
      <c r="E74" s="158" t="s">
        <v>130</v>
      </c>
      <c r="F74" s="159" t="s">
        <v>49</v>
      </c>
      <c r="G74" s="46"/>
    </row>
    <row r="75" spans="1:7" s="47" customFormat="1" ht="30" customHeight="1" thickBot="1" x14ac:dyDescent="0.3">
      <c r="A75" s="78" t="s">
        <v>4</v>
      </c>
      <c r="B75" s="161" t="s">
        <v>38</v>
      </c>
      <c r="C75" s="160"/>
      <c r="D75" s="78" t="s">
        <v>11</v>
      </c>
      <c r="E75" s="239" t="s">
        <v>12</v>
      </c>
      <c r="F75" s="240"/>
      <c r="G75" s="46"/>
    </row>
    <row r="76" spans="1:7" s="52" customFormat="1" ht="94.5" x14ac:dyDescent="0.3">
      <c r="A76" s="48" t="s">
        <v>62</v>
      </c>
      <c r="B76" s="49">
        <v>10</v>
      </c>
      <c r="C76" s="152" t="str">
        <f xml:space="preserve"> IF(B76="","",setValueToTime(B76))</f>
        <v>0h50min</v>
      </c>
      <c r="D76" s="165" t="s">
        <v>145</v>
      </c>
      <c r="E76" s="231"/>
      <c r="F76" s="232"/>
      <c r="G76" s="51"/>
    </row>
    <row r="77" spans="1:7" s="52" customFormat="1" ht="27" x14ac:dyDescent="0.3">
      <c r="A77" s="53" t="s">
        <v>41</v>
      </c>
      <c r="B77" s="54">
        <v>5</v>
      </c>
      <c r="C77" s="153" t="str">
        <f t="shared" ref="C77:C83" si="6" xml:space="preserve"> IF(B77="","",setValueToTime(B77))</f>
        <v>0h25min</v>
      </c>
      <c r="D77" s="166" t="s">
        <v>146</v>
      </c>
      <c r="E77" s="233"/>
      <c r="F77" s="234"/>
      <c r="G77" s="51"/>
    </row>
    <row r="78" spans="1:7" s="52" customFormat="1" ht="81" x14ac:dyDescent="0.3">
      <c r="A78" s="53" t="s">
        <v>57</v>
      </c>
      <c r="B78" s="54">
        <v>30</v>
      </c>
      <c r="C78" s="153" t="str">
        <f t="shared" si="6"/>
        <v>2h30min</v>
      </c>
      <c r="D78" s="166" t="s">
        <v>147</v>
      </c>
      <c r="E78" s="233"/>
      <c r="F78" s="234"/>
      <c r="G78" s="51"/>
    </row>
    <row r="79" spans="1:7" s="52" customFormat="1" x14ac:dyDescent="0.3">
      <c r="A79" s="53"/>
      <c r="B79" s="54"/>
      <c r="C79" s="153" t="str">
        <f t="shared" si="6"/>
        <v/>
      </c>
      <c r="D79" s="55"/>
      <c r="E79" s="233"/>
      <c r="F79" s="234"/>
      <c r="G79" s="51"/>
    </row>
    <row r="80" spans="1:7" s="52" customFormat="1" x14ac:dyDescent="0.3">
      <c r="A80" s="54"/>
      <c r="B80" s="54"/>
      <c r="C80" s="154" t="str">
        <f t="shared" si="6"/>
        <v/>
      </c>
      <c r="D80" s="55"/>
      <c r="E80" s="233"/>
      <c r="F80" s="234"/>
      <c r="G80" s="51"/>
    </row>
    <row r="81" spans="1:7" s="52" customFormat="1" x14ac:dyDescent="0.3">
      <c r="A81" s="54"/>
      <c r="B81" s="54"/>
      <c r="C81" s="154" t="str">
        <f t="shared" si="6"/>
        <v/>
      </c>
      <c r="D81" s="55"/>
      <c r="E81" s="233"/>
      <c r="F81" s="234"/>
      <c r="G81" s="51"/>
    </row>
    <row r="82" spans="1:7" s="52" customFormat="1" x14ac:dyDescent="0.3">
      <c r="A82" s="54"/>
      <c r="B82" s="54"/>
      <c r="C82" s="154" t="str">
        <f t="shared" si="6"/>
        <v/>
      </c>
      <c r="D82" s="55"/>
      <c r="E82" s="233"/>
      <c r="F82" s="234"/>
      <c r="G82" s="51"/>
    </row>
    <row r="83" spans="1:7" s="52" customFormat="1" ht="15" thickBot="1" x14ac:dyDescent="0.35">
      <c r="A83" s="56"/>
      <c r="B83" s="56"/>
      <c r="C83" s="155" t="str">
        <f t="shared" si="6"/>
        <v/>
      </c>
      <c r="D83" s="57"/>
      <c r="E83" s="235"/>
      <c r="F83" s="236"/>
      <c r="G83" s="51"/>
    </row>
    <row r="84" spans="1:7" s="52" customFormat="1" ht="15" thickBot="1" x14ac:dyDescent="0.35">
      <c r="A84" s="162" t="s">
        <v>27</v>
      </c>
      <c r="B84" s="83">
        <f>SUM(B76:B83)</f>
        <v>45</v>
      </c>
      <c r="C84" s="162" t="str">
        <f xml:space="preserve"> setValueToTime(B84)</f>
        <v>3h45min</v>
      </c>
      <c r="D84" s="121"/>
      <c r="E84" s="237"/>
      <c r="F84" s="238"/>
      <c r="G84" s="51"/>
    </row>
    <row r="85" spans="1:7" s="59" customFormat="1" ht="15" thickBot="1" x14ac:dyDescent="0.35">
      <c r="A85" s="77"/>
      <c r="B85" s="77"/>
      <c r="C85" s="77"/>
      <c r="D85" s="77"/>
      <c r="E85" s="77"/>
      <c r="F85" s="77"/>
      <c r="G85" s="58"/>
    </row>
    <row r="86" spans="1:7" s="47" customFormat="1" ht="30" customHeight="1" thickBot="1" x14ac:dyDescent="0.3">
      <c r="A86" s="156" t="s">
        <v>10</v>
      </c>
      <c r="B86" s="164">
        <v>3</v>
      </c>
      <c r="C86" s="164"/>
      <c r="D86" s="157" t="s">
        <v>13</v>
      </c>
      <c r="E86" s="158" t="s">
        <v>132</v>
      </c>
      <c r="F86" s="159" t="s">
        <v>50</v>
      </c>
      <c r="G86" s="46"/>
    </row>
    <row r="87" spans="1:7" s="47" customFormat="1" ht="30" customHeight="1" thickBot="1" x14ac:dyDescent="0.3">
      <c r="A87" s="78" t="s">
        <v>4</v>
      </c>
      <c r="B87" s="161" t="s">
        <v>38</v>
      </c>
      <c r="C87" s="160"/>
      <c r="D87" s="78" t="s">
        <v>11</v>
      </c>
      <c r="E87" s="239" t="s">
        <v>12</v>
      </c>
      <c r="F87" s="240"/>
      <c r="G87" s="46"/>
    </row>
    <row r="88" spans="1:7" s="52" customFormat="1" ht="27" x14ac:dyDescent="0.3">
      <c r="A88" s="48" t="s">
        <v>40</v>
      </c>
      <c r="B88" s="49">
        <v>13</v>
      </c>
      <c r="C88" s="152" t="str">
        <f xml:space="preserve"> IF(B88="","",setValueToTime(B88))</f>
        <v>1h5min</v>
      </c>
      <c r="D88" s="50" t="s">
        <v>72</v>
      </c>
      <c r="E88" s="241" t="s">
        <v>168</v>
      </c>
      <c r="F88" s="232"/>
      <c r="G88" s="51"/>
    </row>
    <row r="89" spans="1:7" s="52" customFormat="1" x14ac:dyDescent="0.3">
      <c r="A89" s="53" t="s">
        <v>14</v>
      </c>
      <c r="B89" s="54">
        <v>5</v>
      </c>
      <c r="C89" s="153" t="str">
        <f t="shared" ref="C89:C95" si="7" xml:space="preserve"> IF(B89="","",setValueToTime(B89))</f>
        <v>0h25min</v>
      </c>
      <c r="D89" s="166" t="s">
        <v>142</v>
      </c>
      <c r="E89" s="233"/>
      <c r="F89" s="234"/>
      <c r="G89" s="51"/>
    </row>
    <row r="90" spans="1:7" s="52" customFormat="1" ht="27" x14ac:dyDescent="0.3">
      <c r="A90" s="53" t="s">
        <v>15</v>
      </c>
      <c r="B90" s="54">
        <v>5</v>
      </c>
      <c r="C90" s="153" t="str">
        <f t="shared" si="7"/>
        <v>0h25min</v>
      </c>
      <c r="D90" s="166" t="s">
        <v>143</v>
      </c>
      <c r="E90" s="233"/>
      <c r="F90" s="234"/>
      <c r="G90" s="51"/>
    </row>
    <row r="91" spans="1:7" s="52" customFormat="1" ht="40.5" x14ac:dyDescent="0.3">
      <c r="A91" s="53" t="s">
        <v>51</v>
      </c>
      <c r="B91" s="54">
        <v>5</v>
      </c>
      <c r="C91" s="153" t="str">
        <f t="shared" si="7"/>
        <v>0h25min</v>
      </c>
      <c r="D91" s="166" t="s">
        <v>144</v>
      </c>
      <c r="E91" s="233"/>
      <c r="F91" s="234"/>
      <c r="G91" s="51"/>
    </row>
    <row r="92" spans="1:7" s="52" customFormat="1" x14ac:dyDescent="0.3">
      <c r="A92" s="54"/>
      <c r="B92" s="54"/>
      <c r="C92" s="154" t="str">
        <f t="shared" si="7"/>
        <v/>
      </c>
      <c r="D92" s="55"/>
      <c r="E92" s="233"/>
      <c r="F92" s="234"/>
      <c r="G92" s="51"/>
    </row>
    <row r="93" spans="1:7" s="52" customFormat="1" x14ac:dyDescent="0.3">
      <c r="A93" s="54"/>
      <c r="B93" s="54"/>
      <c r="C93" s="154" t="str">
        <f t="shared" si="7"/>
        <v/>
      </c>
      <c r="D93" s="55"/>
      <c r="E93" s="233"/>
      <c r="F93" s="234"/>
      <c r="G93" s="51"/>
    </row>
    <row r="94" spans="1:7" s="52" customFormat="1" x14ac:dyDescent="0.3">
      <c r="A94" s="54"/>
      <c r="B94" s="54"/>
      <c r="C94" s="154" t="str">
        <f t="shared" si="7"/>
        <v/>
      </c>
      <c r="D94" s="55"/>
      <c r="E94" s="233"/>
      <c r="F94" s="234"/>
      <c r="G94" s="51"/>
    </row>
    <row r="95" spans="1:7" s="52" customFormat="1" ht="15" thickBot="1" x14ac:dyDescent="0.35">
      <c r="A95" s="56"/>
      <c r="B95" s="56"/>
      <c r="C95" s="155" t="str">
        <f t="shared" si="7"/>
        <v/>
      </c>
      <c r="D95" s="57"/>
      <c r="E95" s="235"/>
      <c r="F95" s="236"/>
      <c r="G95" s="51"/>
    </row>
    <row r="96" spans="1:7" s="52" customFormat="1" ht="15" thickBot="1" x14ac:dyDescent="0.35">
      <c r="A96" s="162" t="s">
        <v>27</v>
      </c>
      <c r="B96" s="83">
        <f>SUM(B88:B95)</f>
        <v>28</v>
      </c>
      <c r="C96" s="162" t="str">
        <f xml:space="preserve"> setValueToTime(B96)</f>
        <v>2h20min</v>
      </c>
      <c r="D96" s="121"/>
      <c r="E96" s="237"/>
      <c r="F96" s="238"/>
      <c r="G96" s="51"/>
    </row>
    <row r="97" spans="1:7" s="59" customFormat="1" ht="15" thickBot="1" x14ac:dyDescent="0.35">
      <c r="A97" s="77"/>
      <c r="B97" s="77"/>
      <c r="C97" s="77"/>
      <c r="D97" s="77"/>
      <c r="E97" s="77"/>
      <c r="F97" s="77"/>
      <c r="G97" s="58"/>
    </row>
    <row r="98" spans="1:7" s="47" customFormat="1" ht="30" customHeight="1" thickBot="1" x14ac:dyDescent="0.3">
      <c r="A98" s="156" t="s">
        <v>10</v>
      </c>
      <c r="B98" s="164">
        <v>2</v>
      </c>
      <c r="C98" s="164"/>
      <c r="D98" s="157" t="s">
        <v>13</v>
      </c>
      <c r="E98" s="158" t="s">
        <v>132</v>
      </c>
      <c r="F98" s="159" t="s">
        <v>49</v>
      </c>
      <c r="G98" s="46"/>
    </row>
    <row r="99" spans="1:7" s="47" customFormat="1" ht="30" customHeight="1" thickBot="1" x14ac:dyDescent="0.3">
      <c r="A99" s="78" t="s">
        <v>4</v>
      </c>
      <c r="B99" s="161" t="s">
        <v>38</v>
      </c>
      <c r="C99" s="160"/>
      <c r="D99" s="78" t="s">
        <v>11</v>
      </c>
      <c r="E99" s="239" t="s">
        <v>12</v>
      </c>
      <c r="F99" s="240"/>
      <c r="G99" s="46"/>
    </row>
    <row r="100" spans="1:7" s="52" customFormat="1" ht="27" x14ac:dyDescent="0.3">
      <c r="A100" s="48" t="s">
        <v>69</v>
      </c>
      <c r="B100" s="49">
        <v>18</v>
      </c>
      <c r="C100" s="152" t="str">
        <f xml:space="preserve"> IF(B100="","",setValueToTime(B100))</f>
        <v>1h30min</v>
      </c>
      <c r="D100" s="165" t="s">
        <v>140</v>
      </c>
      <c r="E100" s="241" t="s">
        <v>167</v>
      </c>
      <c r="F100" s="232"/>
      <c r="G100" s="51"/>
    </row>
    <row r="101" spans="1:7" s="52" customFormat="1" x14ac:dyDescent="0.3">
      <c r="A101" s="168" t="s">
        <v>41</v>
      </c>
      <c r="B101" s="54">
        <v>10</v>
      </c>
      <c r="C101" s="153" t="str">
        <f t="shared" ref="C101:C107" si="8" xml:space="preserve"> IF(B101="","",setValueToTime(B101))</f>
        <v>0h50min</v>
      </c>
      <c r="D101" s="55" t="s">
        <v>58</v>
      </c>
      <c r="E101" s="233"/>
      <c r="F101" s="234"/>
      <c r="G101" s="51"/>
    </row>
    <row r="102" spans="1:7" s="52" customFormat="1" x14ac:dyDescent="0.3">
      <c r="A102" s="53" t="s">
        <v>14</v>
      </c>
      <c r="B102" s="54">
        <v>12</v>
      </c>
      <c r="C102" s="153" t="str">
        <f t="shared" si="8"/>
        <v>1h</v>
      </c>
      <c r="D102" s="166" t="s">
        <v>141</v>
      </c>
      <c r="E102" s="233"/>
      <c r="F102" s="234"/>
      <c r="G102" s="51"/>
    </row>
    <row r="103" spans="1:7" s="52" customFormat="1" ht="27" x14ac:dyDescent="0.3">
      <c r="A103" s="53" t="s">
        <v>40</v>
      </c>
      <c r="B103" s="54">
        <v>5</v>
      </c>
      <c r="C103" s="153" t="str">
        <f t="shared" si="8"/>
        <v>0h25min</v>
      </c>
      <c r="D103" s="166" t="s">
        <v>71</v>
      </c>
      <c r="E103" s="233"/>
      <c r="F103" s="234"/>
      <c r="G103" s="51"/>
    </row>
    <row r="104" spans="1:7" s="52" customFormat="1" x14ac:dyDescent="0.3">
      <c r="A104" s="54"/>
      <c r="B104" s="54"/>
      <c r="C104" s="154" t="str">
        <f t="shared" si="8"/>
        <v/>
      </c>
      <c r="D104" s="55"/>
      <c r="E104" s="233"/>
      <c r="F104" s="234"/>
      <c r="G104" s="51"/>
    </row>
    <row r="105" spans="1:7" s="52" customFormat="1" x14ac:dyDescent="0.3">
      <c r="A105" s="54"/>
      <c r="B105" s="54"/>
      <c r="C105" s="154" t="str">
        <f t="shared" si="8"/>
        <v/>
      </c>
      <c r="D105" s="55"/>
      <c r="E105" s="233"/>
      <c r="F105" s="234"/>
      <c r="G105" s="51"/>
    </row>
    <row r="106" spans="1:7" s="52" customFormat="1" x14ac:dyDescent="0.3">
      <c r="A106" s="54"/>
      <c r="B106" s="54"/>
      <c r="C106" s="154" t="str">
        <f t="shared" si="8"/>
        <v/>
      </c>
      <c r="D106" s="55"/>
      <c r="E106" s="233"/>
      <c r="F106" s="234"/>
      <c r="G106" s="51"/>
    </row>
    <row r="107" spans="1:7" s="52" customFormat="1" ht="15" thickBot="1" x14ac:dyDescent="0.35">
      <c r="A107" s="56"/>
      <c r="B107" s="56"/>
      <c r="C107" s="155" t="str">
        <f t="shared" si="8"/>
        <v/>
      </c>
      <c r="D107" s="57"/>
      <c r="E107" s="235"/>
      <c r="F107" s="236"/>
      <c r="G107" s="51"/>
    </row>
    <row r="108" spans="1:7" s="52" customFormat="1" ht="15" thickBot="1" x14ac:dyDescent="0.35">
      <c r="A108" s="162" t="s">
        <v>27</v>
      </c>
      <c r="B108" s="83">
        <f>SUM(B100:B107)</f>
        <v>45</v>
      </c>
      <c r="C108" s="162" t="str">
        <f xml:space="preserve"> setValueToTime(B108)</f>
        <v>3h45min</v>
      </c>
      <c r="D108" s="121"/>
      <c r="E108" s="237"/>
      <c r="F108" s="238"/>
      <c r="G108" s="51"/>
    </row>
    <row r="109" spans="1:7" s="59" customFormat="1" ht="15" thickBot="1" x14ac:dyDescent="0.35">
      <c r="A109" s="77"/>
      <c r="B109" s="77"/>
      <c r="C109" s="77"/>
      <c r="D109" s="77"/>
      <c r="E109" s="77"/>
      <c r="F109" s="77"/>
      <c r="G109" s="58"/>
    </row>
    <row r="110" spans="1:7" s="47" customFormat="1" ht="30" customHeight="1" thickBot="1" x14ac:dyDescent="0.3">
      <c r="A110" s="156" t="s">
        <v>10</v>
      </c>
      <c r="B110" s="164">
        <v>1</v>
      </c>
      <c r="C110" s="164"/>
      <c r="D110" s="157" t="s">
        <v>13</v>
      </c>
      <c r="E110" s="158" t="s">
        <v>133</v>
      </c>
      <c r="F110" s="159" t="s">
        <v>49</v>
      </c>
      <c r="G110" s="46"/>
    </row>
    <row r="111" spans="1:7" s="47" customFormat="1" ht="30" customHeight="1" thickBot="1" x14ac:dyDescent="0.3">
      <c r="A111" s="78" t="s">
        <v>4</v>
      </c>
      <c r="B111" s="161" t="s">
        <v>38</v>
      </c>
      <c r="C111" s="160"/>
      <c r="D111" s="78" t="s">
        <v>11</v>
      </c>
      <c r="E111" s="239" t="s">
        <v>12</v>
      </c>
      <c r="F111" s="240"/>
      <c r="G111" s="46"/>
    </row>
    <row r="112" spans="1:7" s="52" customFormat="1" ht="40.5" x14ac:dyDescent="0.3">
      <c r="A112" s="48" t="s">
        <v>51</v>
      </c>
      <c r="B112" s="49">
        <v>15</v>
      </c>
      <c r="C112" s="152" t="str">
        <f xml:space="preserve"> IF(B112="","",setValueToTime(B112))</f>
        <v>1h15min</v>
      </c>
      <c r="D112" s="165" t="s">
        <v>157</v>
      </c>
      <c r="E112" s="231"/>
      <c r="F112" s="232"/>
      <c r="G112" s="51"/>
    </row>
    <row r="113" spans="1:7" s="52" customFormat="1" ht="40.5" x14ac:dyDescent="0.3">
      <c r="A113" s="53" t="s">
        <v>14</v>
      </c>
      <c r="B113" s="54">
        <v>21</v>
      </c>
      <c r="C113" s="153" t="str">
        <f t="shared" ref="C113:C119" si="9" xml:space="preserve"> IF(B113="","",setValueToTime(B113))</f>
        <v>1h45min</v>
      </c>
      <c r="D113" s="166" t="s">
        <v>139</v>
      </c>
      <c r="E113" s="233"/>
      <c r="F113" s="234"/>
      <c r="G113" s="51"/>
    </row>
    <row r="114" spans="1:7" s="52" customFormat="1" x14ac:dyDescent="0.3">
      <c r="A114" s="53"/>
      <c r="B114" s="54"/>
      <c r="C114" s="153" t="str">
        <f t="shared" si="9"/>
        <v/>
      </c>
      <c r="D114" s="55"/>
      <c r="E114" s="233"/>
      <c r="F114" s="234"/>
      <c r="G114" s="51"/>
    </row>
    <row r="115" spans="1:7" s="52" customFormat="1" x14ac:dyDescent="0.3">
      <c r="A115" s="53"/>
      <c r="B115" s="54"/>
      <c r="C115" s="153" t="str">
        <f t="shared" si="9"/>
        <v/>
      </c>
      <c r="D115" s="55"/>
      <c r="E115" s="233"/>
      <c r="F115" s="234"/>
      <c r="G115" s="51"/>
    </row>
    <row r="116" spans="1:7" s="52" customFormat="1" x14ac:dyDescent="0.3">
      <c r="A116" s="54"/>
      <c r="B116" s="54"/>
      <c r="C116" s="154" t="str">
        <f t="shared" si="9"/>
        <v/>
      </c>
      <c r="D116" s="55"/>
      <c r="E116" s="233"/>
      <c r="F116" s="234"/>
      <c r="G116" s="51"/>
    </row>
    <row r="117" spans="1:7" s="52" customFormat="1" x14ac:dyDescent="0.3">
      <c r="A117" s="54"/>
      <c r="B117" s="54"/>
      <c r="C117" s="154" t="str">
        <f t="shared" si="9"/>
        <v/>
      </c>
      <c r="D117" s="55"/>
      <c r="E117" s="233"/>
      <c r="F117" s="234"/>
      <c r="G117" s="51"/>
    </row>
    <row r="118" spans="1:7" s="52" customFormat="1" x14ac:dyDescent="0.3">
      <c r="A118" s="54"/>
      <c r="B118" s="54"/>
      <c r="C118" s="154" t="str">
        <f t="shared" si="9"/>
        <v/>
      </c>
      <c r="D118" s="55"/>
      <c r="E118" s="233"/>
      <c r="F118" s="234"/>
      <c r="G118" s="51"/>
    </row>
    <row r="119" spans="1:7" s="52" customFormat="1" ht="15" thickBot="1" x14ac:dyDescent="0.35">
      <c r="A119" s="56"/>
      <c r="B119" s="56"/>
      <c r="C119" s="155" t="str">
        <f t="shared" si="9"/>
        <v/>
      </c>
      <c r="D119" s="57"/>
      <c r="E119" s="235"/>
      <c r="F119" s="236"/>
      <c r="G119" s="51"/>
    </row>
    <row r="120" spans="1:7" s="52" customFormat="1" ht="15" thickBot="1" x14ac:dyDescent="0.35">
      <c r="A120" s="162" t="s">
        <v>27</v>
      </c>
      <c r="B120" s="83">
        <f>SUM(B112:B119)</f>
        <v>36</v>
      </c>
      <c r="C120" s="162" t="str">
        <f xml:space="preserve"> setValueToTime(B120)</f>
        <v>3h</v>
      </c>
      <c r="D120" s="121"/>
      <c r="E120" s="237"/>
      <c r="F120" s="238"/>
      <c r="G120" s="51"/>
    </row>
    <row r="121" spans="1:7" s="59" customFormat="1" x14ac:dyDescent="0.3">
      <c r="A121" s="77"/>
      <c r="B121" s="77"/>
      <c r="C121" s="77"/>
      <c r="D121" s="77"/>
      <c r="E121" s="77"/>
      <c r="F121" s="77"/>
      <c r="G121" s="58"/>
    </row>
  </sheetData>
  <sheetProtection formatRows="0" insertRows="0" insertHyperlinks="0" deleteRows="0" selectLockedCells="1"/>
  <mergeCells count="100">
    <mergeCell ref="E8:F8"/>
    <mergeCell ref="E9:F9"/>
    <mergeCell ref="E10:F10"/>
    <mergeCell ref="E11:F11"/>
    <mergeCell ref="E12:F12"/>
    <mergeCell ref="E3:F3"/>
    <mergeCell ref="E4:F4"/>
    <mergeCell ref="E5:F5"/>
    <mergeCell ref="E6:F6"/>
    <mergeCell ref="E7:F7"/>
    <mergeCell ref="E20:F20"/>
    <mergeCell ref="E21:F21"/>
    <mergeCell ref="E22:F22"/>
    <mergeCell ref="E23:F23"/>
    <mergeCell ref="E24:F24"/>
    <mergeCell ref="E15:F15"/>
    <mergeCell ref="E16:F16"/>
    <mergeCell ref="E17:F17"/>
    <mergeCell ref="E18:F18"/>
    <mergeCell ref="E19:F19"/>
    <mergeCell ref="E68:F68"/>
    <mergeCell ref="E69:F69"/>
    <mergeCell ref="E70:F70"/>
    <mergeCell ref="E71:F71"/>
    <mergeCell ref="E72:F72"/>
    <mergeCell ref="E63:F63"/>
    <mergeCell ref="E64:F64"/>
    <mergeCell ref="E65:F65"/>
    <mergeCell ref="E66:F66"/>
    <mergeCell ref="E67:F67"/>
    <mergeCell ref="E80:F80"/>
    <mergeCell ref="E81:F81"/>
    <mergeCell ref="E82:F82"/>
    <mergeCell ref="E83:F83"/>
    <mergeCell ref="E84:F84"/>
    <mergeCell ref="E75:F75"/>
    <mergeCell ref="E76:F76"/>
    <mergeCell ref="E77:F77"/>
    <mergeCell ref="E78:F78"/>
    <mergeCell ref="E79:F79"/>
    <mergeCell ref="E117:F117"/>
    <mergeCell ref="E118:F118"/>
    <mergeCell ref="E119:F119"/>
    <mergeCell ref="E120:F120"/>
    <mergeCell ref="E99:F99"/>
    <mergeCell ref="E100:F100"/>
    <mergeCell ref="E101:F101"/>
    <mergeCell ref="E102:F102"/>
    <mergeCell ref="E103:F103"/>
    <mergeCell ref="E104:F104"/>
    <mergeCell ref="E111:F111"/>
    <mergeCell ref="E112:F112"/>
    <mergeCell ref="E113:F113"/>
    <mergeCell ref="E114:F114"/>
    <mergeCell ref="E115:F115"/>
    <mergeCell ref="E116:F116"/>
    <mergeCell ref="E106:F106"/>
    <mergeCell ref="E107:F107"/>
    <mergeCell ref="E108:F108"/>
    <mergeCell ref="E87:F87"/>
    <mergeCell ref="E88:F88"/>
    <mergeCell ref="E89:F89"/>
    <mergeCell ref="E90:F90"/>
    <mergeCell ref="E91:F91"/>
    <mergeCell ref="E92:F92"/>
    <mergeCell ref="E93:F93"/>
    <mergeCell ref="E94:F94"/>
    <mergeCell ref="E95:F95"/>
    <mergeCell ref="E96:F96"/>
    <mergeCell ref="E105:F105"/>
    <mergeCell ref="E51:F51"/>
    <mergeCell ref="E52:F52"/>
    <mergeCell ref="E53:F53"/>
    <mergeCell ref="E54:F54"/>
    <mergeCell ref="E55:F55"/>
    <mergeCell ref="E56:F56"/>
    <mergeCell ref="E57:F57"/>
    <mergeCell ref="E58:F58"/>
    <mergeCell ref="E59:F59"/>
    <mergeCell ref="E60:F60"/>
    <mergeCell ref="E39:F39"/>
    <mergeCell ref="E40:F40"/>
    <mergeCell ref="E41:F41"/>
    <mergeCell ref="E42:F42"/>
    <mergeCell ref="E43:F43"/>
    <mergeCell ref="E44:F44"/>
    <mergeCell ref="E45:F45"/>
    <mergeCell ref="E46:F46"/>
    <mergeCell ref="E47:F47"/>
    <mergeCell ref="E48:F48"/>
    <mergeCell ref="E27:F27"/>
    <mergeCell ref="E28:F28"/>
    <mergeCell ref="E29:F29"/>
    <mergeCell ref="E30:F30"/>
    <mergeCell ref="E31:F31"/>
    <mergeCell ref="E32:F32"/>
    <mergeCell ref="E33:F33"/>
    <mergeCell ref="E34:F34"/>
    <mergeCell ref="E35:F35"/>
    <mergeCell ref="E36:F36"/>
  </mergeCells>
  <phoneticPr fontId="0" type="noConversion"/>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0" priority="1" operator="greaterThan">
      <formula>60</formula>
    </cfRule>
  </conditionalFormatting>
  <dataValidations count="3">
    <dataValidation type="whole" operator="greaterThan" allowBlank="1" showInputMessage="1" showErrorMessage="1" errorTitle="Durée par tranche de 10min" error="Le nombre doit être de type entier" sqref="B112:B119 B100:B107 B88:B95 B76:B83 B64:B71 B52:B59 B40:B47 B28:B35 B16:B23 B4:B1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20 B108 B96 B84 B72 B60 B48 B36 B24 B12">
      <formula1>0</formula1>
      <formula2>60</formula2>
    </dataValidation>
    <dataValidation type="list" allowBlank="1" showInputMessage="1" showErrorMessage="1" sqref="A112:A119 A100:A107 A88:A95 A76:A83 A64:A71 A52:A59 A40:A47 A28:A35 A16:A23 A4:A11">
      <formula1>ListeTaches</formula1>
    </dataValidation>
  </dataValidations>
  <hyperlinks>
    <hyperlink ref="E40" r:id="rId1"/>
    <hyperlink ref="E28" r:id="rId2"/>
    <hyperlink ref="E16" r:id="rId3"/>
    <hyperlink ref="E4" r:id="rId4"/>
    <hyperlink ref="E5" r:id="rId5"/>
    <hyperlink ref="E6" r:id="rId6"/>
    <hyperlink ref="E17" r:id="rId7"/>
    <hyperlink ref="E100" r:id="rId8"/>
    <hyperlink ref="E88" r:id="rId9"/>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10"/>
  <headerFooter alignWithMargins="0">
    <oddHeader>&amp;L&amp;"ETML,Normal"&amp;14ETML&amp;R&amp;14&amp;USection Informatique</oddHeader>
    <oddFooter>&amp;L&amp;14&amp;D - GGZ&amp;C&amp;14&amp;F - &amp;A&amp;R&amp;14&amp;P/&amp;N</oddFooter>
  </headerFooter>
  <drawing r:id="rId11"/>
  <legacyDrawing r:id="rId12"/>
  <controls>
    <mc:AlternateContent xmlns:mc="http://schemas.openxmlformats.org/markup-compatibility/2006">
      <mc:Choice Requires="x14">
        <control shapeId="9220" r:id="rId13" name="btnAjoutSeqJournal">
          <controlPr defaultSize="0" autoLine="0" r:id="rId14">
            <anchor moveWithCells="1">
              <from>
                <xdr:col>2</xdr:col>
                <xdr:colOff>85725</xdr:colOff>
                <xdr:row>0</xdr:row>
                <xdr:rowOff>85725</xdr:rowOff>
              </from>
              <to>
                <xdr:col>3</xdr:col>
                <xdr:colOff>914400</xdr:colOff>
                <xdr:row>0</xdr:row>
                <xdr:rowOff>561975</xdr:rowOff>
              </to>
            </anchor>
          </controlPr>
        </control>
      </mc:Choice>
      <mc:Fallback>
        <control shapeId="9220" r:id="rId13" name="btnAjoutSeqJournal"/>
      </mc:Fallback>
    </mc:AlternateContent>
    <mc:AlternateContent xmlns:mc="http://schemas.openxmlformats.org/markup-compatibility/2006">
      <mc:Choice Requires="x14">
        <control shapeId="9224" r:id="rId15" name="btnRapatriementJournal">
          <controlPr defaultSize="0" autoLine="0" r:id="rId16">
            <anchor moveWithCells="1">
              <from>
                <xdr:col>0</xdr:col>
                <xdr:colOff>104775</xdr:colOff>
                <xdr:row>0</xdr:row>
                <xdr:rowOff>85725</xdr:rowOff>
              </from>
              <to>
                <xdr:col>1</xdr:col>
                <xdr:colOff>457200</xdr:colOff>
                <xdr:row>0</xdr:row>
                <xdr:rowOff>552450</xdr:rowOff>
              </to>
            </anchor>
          </controlPr>
        </control>
      </mc:Choice>
      <mc:Fallback>
        <control shapeId="9224" r:id="rId15"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195"/>
      <c r="B10" s="195"/>
      <c r="C10" s="195"/>
      <c r="D10" s="195"/>
      <c r="E10" s="195"/>
      <c r="F10" s="195"/>
      <c r="G10" s="195"/>
      <c r="H10" s="195"/>
      <c r="I10" s="195"/>
      <c r="J10" s="195"/>
      <c r="K10" s="195"/>
      <c r="L10" s="195"/>
      <c r="M10" s="195"/>
      <c r="N10" s="195"/>
      <c r="O10" s="195"/>
      <c r="P10" s="195"/>
      <c r="Q10" s="195"/>
      <c r="R10" s="195"/>
      <c r="S10" s="195"/>
      <c r="T10" s="195"/>
      <c r="U10" s="195"/>
      <c r="V10" s="195"/>
      <c r="W10" s="195"/>
      <c r="X10" s="195"/>
      <c r="Y10" s="195"/>
      <c r="Z10" s="195"/>
      <c r="AA10" s="195"/>
      <c r="AB10" s="195"/>
      <c r="AC10" s="195"/>
      <c r="AD10" s="195"/>
      <c r="AE10" s="195"/>
      <c r="AF10" s="195"/>
      <c r="AG10" s="195"/>
      <c r="AH10" s="195"/>
      <c r="AI10" s="195"/>
      <c r="AJ10" s="195"/>
      <c r="AK10" s="195"/>
      <c r="AL10" s="195"/>
      <c r="AM10" s="195"/>
      <c r="AN10" s="195"/>
      <c r="AO10" s="195"/>
      <c r="AP10" s="195"/>
      <c r="AQ10" s="195"/>
      <c r="AR10" s="195"/>
      <c r="AS10" s="195"/>
      <c r="AT10" s="195"/>
      <c r="AU10" s="195"/>
      <c r="AV10" s="195"/>
      <c r="AW10" s="195"/>
      <c r="AX10" s="195"/>
      <c r="AY10" s="195"/>
      <c r="AZ10" s="195"/>
      <c r="BA10" s="195"/>
      <c r="BB10" s="195"/>
      <c r="BC10" s="195"/>
      <c r="BD10" s="195"/>
      <c r="BE10" s="195"/>
      <c r="BF10" s="195"/>
      <c r="BG10" s="195"/>
      <c r="BH10" s="195"/>
      <c r="BI10" s="90"/>
    </row>
    <row r="11" spans="1:61" ht="18" x14ac:dyDescent="0.25">
      <c r="A11" s="196"/>
      <c r="B11" s="196"/>
      <c r="C11" s="196"/>
      <c r="D11" s="196"/>
      <c r="E11" s="196"/>
      <c r="F11" s="196"/>
      <c r="G11" s="196"/>
      <c r="H11" s="196"/>
      <c r="I11" s="196"/>
      <c r="J11" s="196"/>
      <c r="K11" s="196"/>
      <c r="L11" s="196"/>
      <c r="M11" s="196"/>
      <c r="N11" s="196"/>
      <c r="O11" s="196"/>
      <c r="P11" s="196"/>
      <c r="Q11" s="196"/>
      <c r="R11" s="196"/>
      <c r="S11" s="196"/>
      <c r="T11" s="196"/>
      <c r="U11" s="196"/>
      <c r="V11" s="196"/>
      <c r="W11" s="196"/>
      <c r="X11" s="196"/>
      <c r="Y11" s="196"/>
      <c r="Z11" s="196"/>
      <c r="AA11" s="196"/>
      <c r="AB11" s="196"/>
      <c r="AC11" s="196"/>
      <c r="AD11" s="196"/>
      <c r="AE11" s="196"/>
      <c r="AF11" s="196"/>
      <c r="AG11" s="196"/>
      <c r="AH11" s="196"/>
      <c r="AI11" s="196"/>
      <c r="AJ11" s="196"/>
      <c r="AK11" s="196"/>
      <c r="AL11" s="196"/>
      <c r="AM11" s="196"/>
      <c r="AN11" s="196"/>
      <c r="AO11" s="196"/>
      <c r="AP11" s="196"/>
      <c r="AQ11" s="196"/>
      <c r="AR11" s="196"/>
      <c r="AS11" s="196"/>
      <c r="AT11" s="196"/>
      <c r="AU11" s="196"/>
      <c r="AV11" s="196"/>
      <c r="AW11" s="196"/>
      <c r="AX11" s="196"/>
      <c r="AY11" s="196"/>
      <c r="AZ11" s="196"/>
      <c r="BA11" s="196"/>
      <c r="BB11" s="196"/>
      <c r="BC11" s="196"/>
      <c r="BD11" s="196"/>
      <c r="BE11" s="196"/>
      <c r="BF11" s="196"/>
      <c r="BG11" s="196"/>
      <c r="BH11" s="196"/>
      <c r="BI11" s="90"/>
    </row>
    <row r="12" spans="1:61" ht="18.75" thickBot="1" x14ac:dyDescent="0.3">
      <c r="A12" s="197"/>
      <c r="B12" s="197"/>
      <c r="C12" s="197"/>
      <c r="D12" s="197"/>
      <c r="E12" s="197"/>
      <c r="F12" s="197"/>
      <c r="G12" s="197"/>
      <c r="H12" s="197"/>
      <c r="I12" s="197"/>
      <c r="J12" s="197"/>
      <c r="K12" s="197"/>
      <c r="L12" s="197"/>
      <c r="M12" s="197"/>
      <c r="N12" s="197"/>
      <c r="O12" s="197"/>
      <c r="P12" s="197"/>
      <c r="Q12" s="197"/>
      <c r="R12" s="197"/>
      <c r="S12" s="197"/>
      <c r="T12" s="197"/>
      <c r="U12" s="197"/>
      <c r="V12" s="197"/>
      <c r="W12" s="197"/>
      <c r="X12" s="197"/>
      <c r="Y12" s="197"/>
      <c r="Z12" s="197"/>
      <c r="AA12" s="197"/>
      <c r="AB12" s="197"/>
      <c r="AC12" s="197"/>
      <c r="AD12" s="197"/>
      <c r="AE12" s="197"/>
      <c r="AF12" s="197"/>
      <c r="AG12" s="197"/>
      <c r="AH12" s="197"/>
      <c r="AI12" s="197"/>
      <c r="AJ12" s="197"/>
      <c r="AK12" s="197"/>
      <c r="AL12" s="197"/>
      <c r="AM12" s="197"/>
      <c r="AN12" s="197"/>
      <c r="AO12" s="197"/>
      <c r="AP12" s="197"/>
      <c r="AQ12" s="197"/>
      <c r="AR12" s="197"/>
      <c r="AS12" s="197"/>
      <c r="AT12" s="197"/>
      <c r="AU12" s="197"/>
      <c r="AV12" s="197"/>
      <c r="AW12" s="197"/>
      <c r="AX12" s="197"/>
      <c r="AY12" s="197"/>
      <c r="AZ12" s="197"/>
      <c r="BA12" s="197"/>
      <c r="BB12" s="197"/>
      <c r="BC12" s="197"/>
      <c r="BD12" s="197"/>
      <c r="BE12" s="197"/>
      <c r="BF12" s="197"/>
      <c r="BG12" s="197"/>
      <c r="BH12" s="197"/>
      <c r="BI12" s="90"/>
    </row>
    <row r="13" spans="1:61" ht="18.75" thickBot="1" x14ac:dyDescent="0.3">
      <c r="A13" s="198" t="s">
        <v>10</v>
      </c>
      <c r="B13" s="199"/>
      <c r="C13" s="199"/>
      <c r="D13" s="199"/>
      <c r="E13" s="199"/>
      <c r="F13" s="199"/>
      <c r="G13" s="199"/>
      <c r="H13" s="199"/>
      <c r="I13" s="199"/>
      <c r="J13" s="199"/>
      <c r="K13" s="199"/>
      <c r="L13" s="199"/>
      <c r="M13" s="199"/>
      <c r="N13" s="199"/>
      <c r="O13" s="199"/>
      <c r="P13" s="199"/>
      <c r="Q13" s="199"/>
      <c r="R13" s="199"/>
      <c r="S13" s="199"/>
      <c r="T13" s="199"/>
      <c r="U13" s="199"/>
      <c r="V13" s="199"/>
      <c r="W13" s="199"/>
      <c r="X13" s="199"/>
      <c r="Y13" s="199"/>
      <c r="Z13" s="199"/>
      <c r="AA13" s="199"/>
      <c r="AB13" s="199"/>
      <c r="AC13" s="199"/>
      <c r="AD13" s="199"/>
      <c r="AE13" s="199"/>
      <c r="AF13" s="199"/>
      <c r="AG13" s="199"/>
      <c r="AH13" s="199"/>
      <c r="AI13" s="199"/>
      <c r="AJ13" s="199"/>
      <c r="AK13" s="199"/>
      <c r="AL13" s="199"/>
      <c r="AM13" s="199"/>
      <c r="AN13" s="199"/>
      <c r="AO13" s="199"/>
      <c r="AP13" s="199"/>
      <c r="AQ13" s="199"/>
      <c r="AR13" s="199"/>
      <c r="AS13" s="199"/>
      <c r="AT13" s="199"/>
      <c r="AU13" s="199"/>
      <c r="AV13" s="199"/>
      <c r="AW13" s="199"/>
      <c r="AX13" s="199"/>
      <c r="AY13" s="199"/>
      <c r="AZ13" s="199"/>
      <c r="BA13" s="199"/>
      <c r="BB13" s="199"/>
      <c r="BC13" s="199"/>
      <c r="BD13" s="199"/>
      <c r="BE13" s="199"/>
      <c r="BF13" s="199"/>
      <c r="BG13" s="199"/>
      <c r="BH13" s="200"/>
      <c r="BI13" s="90"/>
    </row>
    <row r="14" spans="1:61" ht="15.75" thickBot="1" x14ac:dyDescent="0.35">
      <c r="A14" s="103"/>
      <c r="B14" s="104"/>
      <c r="C14" s="104"/>
      <c r="D14" s="104"/>
      <c r="E14" s="201" t="s">
        <v>32</v>
      </c>
      <c r="F14" s="201"/>
      <c r="G14" s="201"/>
      <c r="H14" s="201"/>
      <c r="I14" s="104"/>
      <c r="J14" s="104"/>
      <c r="K14" s="202" t="s">
        <v>22</v>
      </c>
      <c r="L14" s="202"/>
      <c r="M14" s="202"/>
      <c r="N14" s="202"/>
      <c r="O14" s="129"/>
      <c r="P14" s="129"/>
      <c r="Q14" s="201" t="s">
        <v>33</v>
      </c>
      <c r="R14" s="201"/>
      <c r="S14" s="201"/>
      <c r="T14" s="201"/>
      <c r="U14" s="104"/>
      <c r="V14" s="104"/>
      <c r="W14" s="202" t="s">
        <v>23</v>
      </c>
      <c r="X14" s="202"/>
      <c r="Y14" s="202"/>
      <c r="Z14" s="202"/>
      <c r="AA14" s="129"/>
      <c r="AB14" s="129"/>
      <c r="AC14" s="201" t="s">
        <v>34</v>
      </c>
      <c r="AD14" s="201"/>
      <c r="AE14" s="201"/>
      <c r="AF14" s="201"/>
      <c r="AG14" s="104"/>
      <c r="AH14" s="104"/>
      <c r="AI14" s="202" t="s">
        <v>24</v>
      </c>
      <c r="AJ14" s="202"/>
      <c r="AK14" s="202"/>
      <c r="AL14" s="202"/>
      <c r="AM14" s="129"/>
      <c r="AN14" s="129"/>
      <c r="AO14" s="201" t="s">
        <v>35</v>
      </c>
      <c r="AP14" s="201"/>
      <c r="AQ14" s="201"/>
      <c r="AR14" s="201"/>
      <c r="AS14" s="104"/>
      <c r="AT14" s="104"/>
      <c r="AU14" s="202" t="s">
        <v>25</v>
      </c>
      <c r="AV14" s="202"/>
      <c r="AW14" s="202"/>
      <c r="AX14" s="202"/>
      <c r="AY14" s="129"/>
      <c r="AZ14" s="129"/>
      <c r="BA14" s="201" t="s">
        <v>36</v>
      </c>
      <c r="BB14" s="201"/>
      <c r="BC14" s="201"/>
      <c r="BD14" s="201"/>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10</v>
      </c>
      <c r="B1" s="163">
        <v>1</v>
      </c>
      <c r="C1" s="163"/>
      <c r="D1" s="82" t="s">
        <v>13</v>
      </c>
      <c r="E1" s="94"/>
      <c r="F1" s="126"/>
      <c r="G1" s="46"/>
    </row>
    <row r="2" spans="1:7" s="47" customFormat="1" ht="30" customHeight="1" thickBot="1" x14ac:dyDescent="0.3">
      <c r="A2" s="80" t="s">
        <v>4</v>
      </c>
      <c r="B2" s="150" t="s">
        <v>38</v>
      </c>
      <c r="C2" s="151"/>
      <c r="D2" s="80" t="s">
        <v>11</v>
      </c>
      <c r="E2" s="229" t="s">
        <v>12</v>
      </c>
      <c r="F2" s="230"/>
      <c r="G2" s="46"/>
    </row>
    <row r="3" spans="1:7" s="52" customFormat="1" x14ac:dyDescent="0.3">
      <c r="A3" s="48"/>
      <c r="B3" s="49"/>
      <c r="C3" s="152" t="str">
        <f xml:space="preserve"> IF(B3="","",setValueToTime(B3))</f>
        <v/>
      </c>
      <c r="D3" s="50"/>
      <c r="E3" s="231"/>
      <c r="F3" s="232"/>
      <c r="G3" s="51"/>
    </row>
    <row r="4" spans="1:7" s="52" customFormat="1" x14ac:dyDescent="0.3">
      <c r="A4" s="53"/>
      <c r="B4" s="54"/>
      <c r="C4" s="153" t="str">
        <f t="shared" ref="C4:C10" si="0" xml:space="preserve"> IF(B4="","",setValueToTime(B4))</f>
        <v/>
      </c>
      <c r="D4" s="55"/>
      <c r="E4" s="233"/>
      <c r="F4" s="234"/>
      <c r="G4" s="51"/>
    </row>
    <row r="5" spans="1:7" s="52" customFormat="1" x14ac:dyDescent="0.3">
      <c r="A5" s="53"/>
      <c r="B5" s="54"/>
      <c r="C5" s="153" t="str">
        <f t="shared" si="0"/>
        <v/>
      </c>
      <c r="D5" s="55"/>
      <c r="E5" s="233"/>
      <c r="F5" s="234"/>
      <c r="G5" s="51"/>
    </row>
    <row r="6" spans="1:7" s="52" customFormat="1" x14ac:dyDescent="0.3">
      <c r="A6" s="53"/>
      <c r="B6" s="54"/>
      <c r="C6" s="153" t="str">
        <f t="shared" si="0"/>
        <v/>
      </c>
      <c r="D6" s="55"/>
      <c r="E6" s="233"/>
      <c r="F6" s="234"/>
      <c r="G6" s="51"/>
    </row>
    <row r="7" spans="1:7" s="52" customFormat="1" x14ac:dyDescent="0.3">
      <c r="A7" s="54"/>
      <c r="B7" s="54"/>
      <c r="C7" s="154" t="str">
        <f t="shared" si="0"/>
        <v/>
      </c>
      <c r="D7" s="55"/>
      <c r="E7" s="233"/>
      <c r="F7" s="234"/>
      <c r="G7" s="51"/>
    </row>
    <row r="8" spans="1:7" s="52" customFormat="1" x14ac:dyDescent="0.3">
      <c r="A8" s="54"/>
      <c r="B8" s="54"/>
      <c r="C8" s="154" t="str">
        <f t="shared" si="0"/>
        <v/>
      </c>
      <c r="D8" s="55"/>
      <c r="E8" s="233"/>
      <c r="F8" s="234"/>
      <c r="G8" s="51"/>
    </row>
    <row r="9" spans="1:7" s="52" customFormat="1" x14ac:dyDescent="0.3">
      <c r="A9" s="54"/>
      <c r="B9" s="54"/>
      <c r="C9" s="154" t="str">
        <f t="shared" si="0"/>
        <v/>
      </c>
      <c r="D9" s="55"/>
      <c r="E9" s="233"/>
      <c r="F9" s="234"/>
      <c r="G9" s="51"/>
    </row>
    <row r="10" spans="1:7" s="52" customFormat="1" ht="15" thickBot="1" x14ac:dyDescent="0.35">
      <c r="A10" s="56"/>
      <c r="B10" s="56"/>
      <c r="C10" s="155" t="str">
        <f t="shared" si="0"/>
        <v/>
      </c>
      <c r="D10" s="57"/>
      <c r="E10" s="235"/>
      <c r="F10" s="236"/>
      <c r="G10" s="51"/>
    </row>
    <row r="11" spans="1:7" s="52" customFormat="1" ht="15" thickBot="1" x14ac:dyDescent="0.35">
      <c r="A11" s="111" t="s">
        <v>27</v>
      </c>
      <c r="B11" s="84">
        <f>SUM(B3:B10)</f>
        <v>0</v>
      </c>
      <c r="C11" s="111" t="str">
        <f xml:space="preserve"> setValueToTime(B11)</f>
        <v>0h</v>
      </c>
      <c r="D11" s="120"/>
      <c r="E11" s="227"/>
      <c r="F11" s="228"/>
      <c r="G11" s="51"/>
    </row>
    <row r="12" spans="1:7" s="59" customFormat="1" x14ac:dyDescent="0.3">
      <c r="A12" s="79"/>
      <c r="B12" s="79"/>
      <c r="C12" s="79"/>
      <c r="D12" s="79"/>
      <c r="E12" s="79"/>
      <c r="F12" s="79"/>
      <c r="G12" s="58"/>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2"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10</v>
      </c>
      <c r="B1" s="164">
        <v>1</v>
      </c>
      <c r="C1" s="164"/>
      <c r="D1" s="157" t="s">
        <v>13</v>
      </c>
      <c r="E1" s="158"/>
      <c r="F1" s="159"/>
      <c r="G1" s="46"/>
    </row>
    <row r="2" spans="1:7" s="47" customFormat="1" ht="30" customHeight="1" thickBot="1" x14ac:dyDescent="0.3">
      <c r="A2" s="78" t="s">
        <v>4</v>
      </c>
      <c r="B2" s="161" t="s">
        <v>38</v>
      </c>
      <c r="C2" s="160"/>
      <c r="D2" s="78" t="s">
        <v>11</v>
      </c>
      <c r="E2" s="239" t="s">
        <v>12</v>
      </c>
      <c r="F2" s="240"/>
      <c r="G2" s="46"/>
    </row>
    <row r="3" spans="1:7" s="52" customFormat="1" x14ac:dyDescent="0.3">
      <c r="A3" s="48"/>
      <c r="B3" s="49"/>
      <c r="C3" s="152" t="str">
        <f xml:space="preserve"> IF(B3="","",setValueToTime(B3))</f>
        <v/>
      </c>
      <c r="D3" s="50"/>
      <c r="E3" s="231"/>
      <c r="F3" s="232"/>
      <c r="G3" s="51"/>
    </row>
    <row r="4" spans="1:7" s="52" customFormat="1" x14ac:dyDescent="0.3">
      <c r="A4" s="53"/>
      <c r="B4" s="54"/>
      <c r="C4" s="153" t="str">
        <f t="shared" ref="C4:C10" si="0" xml:space="preserve"> IF(B4="","",setValueToTime(B4))</f>
        <v/>
      </c>
      <c r="D4" s="55"/>
      <c r="E4" s="233"/>
      <c r="F4" s="234"/>
      <c r="G4" s="51"/>
    </row>
    <row r="5" spans="1:7" s="52" customFormat="1" x14ac:dyDescent="0.3">
      <c r="A5" s="53"/>
      <c r="B5" s="54"/>
      <c r="C5" s="153" t="str">
        <f t="shared" si="0"/>
        <v/>
      </c>
      <c r="D5" s="55"/>
      <c r="E5" s="233"/>
      <c r="F5" s="234"/>
      <c r="G5" s="51"/>
    </row>
    <row r="6" spans="1:7" s="52" customFormat="1" x14ac:dyDescent="0.3">
      <c r="A6" s="53"/>
      <c r="B6" s="54"/>
      <c r="C6" s="153" t="str">
        <f t="shared" si="0"/>
        <v/>
      </c>
      <c r="D6" s="55"/>
      <c r="E6" s="233"/>
      <c r="F6" s="234"/>
      <c r="G6" s="51"/>
    </row>
    <row r="7" spans="1:7" s="52" customFormat="1" x14ac:dyDescent="0.3">
      <c r="A7" s="54"/>
      <c r="B7" s="54"/>
      <c r="C7" s="154" t="str">
        <f t="shared" si="0"/>
        <v/>
      </c>
      <c r="D7" s="55"/>
      <c r="E7" s="233"/>
      <c r="F7" s="234"/>
      <c r="G7" s="51"/>
    </row>
    <row r="8" spans="1:7" s="52" customFormat="1" x14ac:dyDescent="0.3">
      <c r="A8" s="54"/>
      <c r="B8" s="54"/>
      <c r="C8" s="154" t="str">
        <f t="shared" si="0"/>
        <v/>
      </c>
      <c r="D8" s="55"/>
      <c r="E8" s="233"/>
      <c r="F8" s="234"/>
      <c r="G8" s="51"/>
    </row>
    <row r="9" spans="1:7" s="52" customFormat="1" x14ac:dyDescent="0.3">
      <c r="A9" s="54"/>
      <c r="B9" s="54"/>
      <c r="C9" s="154" t="str">
        <f t="shared" si="0"/>
        <v/>
      </c>
      <c r="D9" s="55"/>
      <c r="E9" s="233"/>
      <c r="F9" s="234"/>
      <c r="G9" s="51"/>
    </row>
    <row r="10" spans="1:7" s="52" customFormat="1" ht="15" thickBot="1" x14ac:dyDescent="0.35">
      <c r="A10" s="56"/>
      <c r="B10" s="56"/>
      <c r="C10" s="155" t="str">
        <f t="shared" si="0"/>
        <v/>
      </c>
      <c r="D10" s="57"/>
      <c r="E10" s="235"/>
      <c r="F10" s="236"/>
      <c r="G10" s="51"/>
    </row>
    <row r="11" spans="1:7" s="52" customFormat="1" ht="15" thickBot="1" x14ac:dyDescent="0.35">
      <c r="A11" s="162" t="s">
        <v>27</v>
      </c>
      <c r="B11" s="83">
        <f>SUM(B3:B10)</f>
        <v>0</v>
      </c>
      <c r="C11" s="162" t="str">
        <f xml:space="preserve"> setValueToTime(B11)</f>
        <v>0h</v>
      </c>
      <c r="D11" s="121"/>
      <c r="E11" s="237"/>
      <c r="F11" s="238"/>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Tristan Gerber</dc:creator>
  <cp:lastModifiedBy>Tristan Gerber</cp:lastModifiedBy>
  <cp:lastPrinted>2019-05-08T10:31:53Z</cp:lastPrinted>
  <dcterms:created xsi:type="dcterms:W3CDTF">1996-10-21T11:03:58Z</dcterms:created>
  <dcterms:modified xsi:type="dcterms:W3CDTF">2022-05-11T14:15:35Z</dcterms:modified>
</cp:coreProperties>
</file>