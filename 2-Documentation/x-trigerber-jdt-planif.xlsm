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trigerber-TPI\2-Documentation\"/>
    </mc:Choice>
  </mc:AlternateContent>
  <bookViews>
    <workbookView xWindow="0" yWindow="0" windowWidth="28800" windowHeight="1170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B72" i="10"/>
  <c r="C71" i="10"/>
  <c r="C70" i="10"/>
  <c r="C69" i="10"/>
  <c r="C68" i="10"/>
  <c r="C67" i="10"/>
  <c r="C6" i="10"/>
  <c r="C7" i="10"/>
  <c r="C66" i="10"/>
  <c r="C79" i="10"/>
  <c r="C78" i="10"/>
  <c r="C77" i="10"/>
  <c r="C76" i="10"/>
  <c r="C113" i="10"/>
  <c r="C112" i="10"/>
  <c r="C125" i="10"/>
  <c r="C127" i="10"/>
  <c r="C126" i="10"/>
  <c r="C124" i="10"/>
  <c r="C129" i="10"/>
  <c r="C128" i="10"/>
  <c r="C137" i="10"/>
  <c r="C136" i="10"/>
  <c r="C296" i="10"/>
  <c r="C295" i="10"/>
  <c r="C294" i="10"/>
  <c r="C163" i="10"/>
  <c r="C162" i="10"/>
  <c r="C164" i="10"/>
  <c r="C161" i="10"/>
  <c r="C160" i="10"/>
  <c r="C165" i="10"/>
  <c r="C184" i="10"/>
  <c r="C185" i="10"/>
  <c r="C188" i="10"/>
  <c r="C187" i="10"/>
  <c r="C186" i="10"/>
  <c r="C5" i="10"/>
  <c r="C4" i="10"/>
  <c r="C29" i="10"/>
  <c r="C28" i="10"/>
  <c r="C41" i="10"/>
  <c r="C40" i="10"/>
  <c r="C12" i="10"/>
  <c r="C72" i="10"/>
  <c r="C65" i="10"/>
  <c r="C64" i="10"/>
  <c r="B24" i="10" l="1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84" i="10"/>
  <c r="C83" i="10"/>
  <c r="C82" i="10"/>
  <c r="C81" i="10"/>
  <c r="C80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B132" i="10"/>
  <c r="C131" i="10"/>
  <c r="C130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B168" i="10"/>
  <c r="C167" i="10"/>
  <c r="C166" i="10"/>
  <c r="B180" i="10"/>
  <c r="C179" i="10"/>
  <c r="C178" i="10"/>
  <c r="C177" i="10"/>
  <c r="C176" i="10"/>
  <c r="C175" i="10"/>
  <c r="C174" i="10"/>
  <c r="B192" i="10"/>
  <c r="C191" i="10"/>
  <c r="C190" i="10"/>
  <c r="C189" i="10"/>
  <c r="B204" i="10"/>
  <c r="C203" i="10"/>
  <c r="C202" i="10"/>
  <c r="C201" i="10"/>
  <c r="C200" i="10"/>
  <c r="C199" i="10"/>
  <c r="C198" i="10"/>
  <c r="B216" i="10"/>
  <c r="C215" i="10"/>
  <c r="C214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B264" i="10"/>
  <c r="C263" i="10"/>
  <c r="C262" i="10"/>
  <c r="C261" i="10"/>
  <c r="C260" i="10"/>
  <c r="B276" i="10"/>
  <c r="C275" i="10"/>
  <c r="C274" i="10"/>
  <c r="C273" i="10"/>
  <c r="C272" i="10"/>
  <c r="B288" i="10"/>
  <c r="C287" i="10"/>
  <c r="C286" i="10"/>
  <c r="C285" i="10"/>
  <c r="C284" i="10"/>
  <c r="C283" i="10"/>
  <c r="B300" i="10"/>
  <c r="C299" i="10"/>
  <c r="C298" i="10"/>
  <c r="B312" i="10"/>
  <c r="C311" i="10"/>
  <c r="C310" i="10"/>
  <c r="C309" i="10"/>
  <c r="C308" i="10"/>
  <c r="B324" i="10"/>
  <c r="C323" i="10"/>
  <c r="C322" i="10"/>
  <c r="C321" i="10"/>
  <c r="C320" i="10"/>
  <c r="C319" i="10"/>
  <c r="C318" i="10"/>
  <c r="C43" i="10"/>
  <c r="C16" i="10"/>
  <c r="C30" i="10"/>
  <c r="C42" i="10"/>
  <c r="C52" i="10"/>
  <c r="C103" i="10"/>
  <c r="C102" i="10"/>
  <c r="C89" i="10"/>
  <c r="C88" i="10"/>
  <c r="C151" i="10"/>
  <c r="C150" i="10"/>
  <c r="C173" i="10"/>
  <c r="C172" i="10"/>
  <c r="C197" i="10"/>
  <c r="C196" i="10"/>
  <c r="C213" i="10"/>
  <c r="C212" i="10"/>
  <c r="C211" i="10"/>
  <c r="C210" i="10"/>
  <c r="C222" i="10"/>
  <c r="C221" i="10"/>
  <c r="C220" i="10"/>
  <c r="C248" i="10"/>
  <c r="C101" i="10"/>
  <c r="C100" i="10"/>
  <c r="C149" i="10"/>
  <c r="C148" i="10"/>
  <c r="C209" i="10"/>
  <c r="C208" i="10"/>
  <c r="C233" i="10"/>
  <c r="C282" i="10"/>
  <c r="C232" i="10"/>
  <c r="C247" i="10"/>
  <c r="C246" i="10"/>
  <c r="C259" i="10"/>
  <c r="C258" i="10"/>
  <c r="C245" i="10"/>
  <c r="C244" i="10"/>
  <c r="C257" i="10"/>
  <c r="C256" i="10"/>
  <c r="C297" i="10"/>
  <c r="C307" i="10"/>
  <c r="C48" i="10"/>
  <c r="C168" i="10"/>
  <c r="C204" i="10"/>
  <c r="C108" i="10"/>
  <c r="C316" i="10"/>
  <c r="C120" i="10"/>
  <c r="C36" i="10"/>
  <c r="C216" i="10"/>
  <c r="C156" i="10"/>
  <c r="C144" i="10"/>
  <c r="C132" i="10"/>
  <c r="C264" i="10"/>
  <c r="C240" i="10"/>
  <c r="C24" i="10"/>
  <c r="C96" i="10"/>
  <c r="C228" i="10"/>
  <c r="C84" i="10"/>
  <c r="C180" i="10"/>
  <c r="C252" i="10"/>
  <c r="C60" i="10"/>
  <c r="C192" i="10"/>
  <c r="C271" i="10"/>
  <c r="C270" i="10"/>
  <c r="C269" i="10"/>
  <c r="C268" i="10"/>
  <c r="C276" i="10"/>
  <c r="C281" i="10"/>
  <c r="C280" i="10"/>
  <c r="C288" i="10"/>
  <c r="C293" i="10"/>
  <c r="C306" i="10"/>
  <c r="C292" i="10"/>
  <c r="C300" i="10"/>
  <c r="C304" i="10"/>
  <c r="C305" i="10"/>
  <c r="C312" i="10"/>
  <c r="C317" i="10"/>
  <c r="C32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39" i="1"/>
  <c r="D34" i="1"/>
  <c r="D91" i="1"/>
  <c r="D77" i="1"/>
  <c r="D17" i="1"/>
  <c r="D29" i="1"/>
  <c r="D44" i="1"/>
  <c r="D90" i="1"/>
  <c r="D84" i="1"/>
  <c r="D69" i="1"/>
  <c r="D16" i="1"/>
  <c r="D19" i="1"/>
  <c r="D81" i="1"/>
  <c r="D74" i="1"/>
  <c r="D15" i="1"/>
  <c r="D54" i="1"/>
  <c r="D89" i="1"/>
  <c r="D78" i="1"/>
  <c r="D33" i="1"/>
  <c r="D57" i="1"/>
  <c r="D64" i="1"/>
  <c r="D59" i="1"/>
  <c r="D83" i="1"/>
  <c r="D25" i="1"/>
  <c r="D40" i="1"/>
  <c r="D70" i="1"/>
  <c r="D22" i="1"/>
  <c r="D68" i="1"/>
  <c r="D80" i="1"/>
  <c r="D18" i="1"/>
  <c r="D92" i="1"/>
  <c r="D20" i="1"/>
  <c r="D65" i="1"/>
  <c r="D49" i="1"/>
  <c r="D47" i="1"/>
  <c r="D94" i="1"/>
  <c r="D73" i="1"/>
  <c r="D51" i="1"/>
  <c r="D85" i="1"/>
  <c r="D37" i="1"/>
  <c r="D93" i="1"/>
  <c r="D30" i="1"/>
  <c r="D23" i="1"/>
  <c r="D27" i="1"/>
  <c r="D52" i="1"/>
  <c r="D61" i="1"/>
  <c r="D46" i="1"/>
  <c r="D60" i="1"/>
  <c r="D28" i="1"/>
  <c r="D36" i="1"/>
  <c r="D21" i="1"/>
  <c r="D58" i="1"/>
  <c r="D35" i="1"/>
  <c r="D45" i="1"/>
  <c r="D43" i="1"/>
  <c r="D88" i="1"/>
  <c r="D67" i="1"/>
  <c r="D32" i="1"/>
  <c r="D82" i="1"/>
  <c r="D24" i="1"/>
  <c r="D71" i="1"/>
  <c r="D48" i="1"/>
  <c r="D72" i="1"/>
  <c r="D76" i="1"/>
  <c r="D62" i="1"/>
  <c r="D87" i="1"/>
  <c r="D55" i="1"/>
  <c r="D31" i="1"/>
  <c r="D38" i="1"/>
  <c r="D63" i="1"/>
  <c r="D56" i="1"/>
  <c r="D53" i="1"/>
  <c r="D66" i="1"/>
  <c r="D75" i="1"/>
  <c r="D41" i="1"/>
  <c r="D42" i="1"/>
  <c r="D79" i="1"/>
  <c r="D26" i="1"/>
  <c r="D50" i="1"/>
  <c r="D8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<sst xmlns="http://schemas.openxmlformats.org/spreadsheetml/2006/main" count="572" uniqueCount="102">
  <si>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</si>
  <si>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</si>
  <si>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</si>
  <si>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</si>
  <si>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</si>
  <si>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</si>
  <si>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</si>
  <si>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</si>
  <si>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</si>
  <si>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</si>
  <si>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</si>
  <si>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</si>
  <si>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</si>
  <si>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</si>
  <si>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</si>
  <si>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</si>
  <si>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</si>
  <si>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</si>
  <si>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</si>
  <si>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</si>
  <si>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</si>
  <si>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</si>
  <si>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</si>
  <si>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</si>
  <si>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</si>
  <si>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</si>
  <si>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</si>
  <si>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</si>
  <si>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</si>
  <si>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</si>
  <si>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</si>
  <si>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</si>
  <si>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</si>
  <si>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</si>
  <si>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</si>
  <si>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</si>
  <si>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</si>
  <si>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</si>
  <si>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</si>
  <si>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</si>
  <si>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</si>
  <si>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</si>
  <si>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Absences - Imprévus </t>
  </si>
  <si>
    <t>Doc - Planification initiale</t>
  </si>
  <si>
    <t>Doc - Maquettes</t>
  </si>
  <si>
    <t>Dev - Base de données</t>
  </si>
  <si>
    <t>Dev - Interfaces</t>
  </si>
  <si>
    <t>Dev - Github</t>
  </si>
  <si>
    <t>TPI</t>
  </si>
  <si>
    <t>Tristan Gerber</t>
  </si>
  <si>
    <t>MID4</t>
  </si>
  <si>
    <t>ETML, N501</t>
  </si>
  <si>
    <t>Matin</t>
  </si>
  <si>
    <t>Après-midi</t>
  </si>
  <si>
    <t>Doc - Entretien avec les experts / chef de projet</t>
  </si>
  <si>
    <t>Du 02.05.2022 au 01.06.2022</t>
  </si>
  <si>
    <t>Lecture du cahier des charges avec le chef de projet et un des experts, questionnement et compréhension de celui-ci et que du déroulement du projet en général.</t>
  </si>
  <si>
    <t>Rédaction de la première partie du rapport</t>
  </si>
  <si>
    <t>Dev - Page des tâches</t>
  </si>
  <si>
    <t>Dev - ToDoList</t>
  </si>
  <si>
    <t>Dev - Général</t>
  </si>
  <si>
    <t>Conception des maquettes, de différents choix possibles</t>
  </si>
  <si>
    <t>Mise en place d'un répertoire GitHub pour la sauvegarde du projet</t>
  </si>
  <si>
    <t>Rédaction de la partie d'analyse et début de la partie de conception</t>
  </si>
  <si>
    <t>Rédaction de la partie de conception du rapport</t>
  </si>
  <si>
    <t>Doc - Base de données</t>
  </si>
  <si>
    <t>Rédaction du journal de travail</t>
  </si>
  <si>
    <t>Début de la conception de la base de données</t>
  </si>
  <si>
    <t>Conception de la base de données</t>
  </si>
  <si>
    <t>Création de la structure de l'application correspondant aux normes ETML et à celles citées dans le rapport, configuration de l'environnement de programmation</t>
  </si>
  <si>
    <t>Rédaction du rapport, notamment de la réalisation, des choix effectués et des options prises dans le code</t>
  </si>
  <si>
    <t>Utilisation de GitHub</t>
  </si>
  <si>
    <t>Rédaction du journal de travail pour la journée</t>
  </si>
  <si>
    <t>Doc - Analyse</t>
  </si>
  <si>
    <t>Analyse et recherches nécessaires</t>
  </si>
  <si>
    <t>Début de la rédaction de la planification initiale</t>
  </si>
  <si>
    <t>Fin de la rédaction de la planification initiale</t>
  </si>
  <si>
    <t>Dev - Tests</t>
  </si>
  <si>
    <t>Création des maquettes finales</t>
  </si>
  <si>
    <t>Rédaction du rapport sur le fonctionnement et la structure des bases de données de l'application</t>
  </si>
  <si>
    <t>Entretien avec M. Ferrari pour répondre à des questions et vérifier l'avancement du projet</t>
  </si>
  <si>
    <t>Utilisation de Github</t>
  </si>
  <si>
    <t>Implémentation de la base de données dans l'application à l'aide de SQLite</t>
  </si>
  <si>
    <t>Rédaction de la partie du rapport concernant la réalisation de la page des tâches</t>
  </si>
  <si>
    <t>Apprentissage de SQLite</t>
  </si>
  <si>
    <t>Réalisation de la page affichant toutes les tâches</t>
  </si>
  <si>
    <t>Réalisation de l'interface de la page affichant toutes les tâches</t>
  </si>
  <si>
    <t>Finalisation de la réalisation de la page affichant toutes les tâches</t>
  </si>
  <si>
    <t>Finalisation de la réalisation de l'interface de la page affichant toutes les tâches</t>
  </si>
  <si>
    <t>Réalisation de la page de ToDoList</t>
  </si>
  <si>
    <t>Réalisation de l'interface de la page de ToDoList</t>
  </si>
  <si>
    <t>Rédaction de la partie du rapport concernant la réalisation de la page de ToDoList</t>
  </si>
  <si>
    <t>Finalisation de la réalisation de la page de ToDoList</t>
  </si>
  <si>
    <t>Finalisation de la réalisation de l'interface de la page de ToDoList</t>
  </si>
  <si>
    <t>Rédaction de la partie du rapport sur le fonctionnement et l'implémentation des tests, définition des différents tests à réaliser</t>
  </si>
  <si>
    <t>Test des différentes fonctionnalités suivant les tests écrits auparavant dans le rapport</t>
  </si>
  <si>
    <t>Correction des potentielles erreurs liées aux tests</t>
  </si>
  <si>
    <t>Développement général, amélioration du code</t>
  </si>
  <si>
    <t>Amélioration de l'interface générale de l'application</t>
  </si>
  <si>
    <t>Rédaction du rapport, notamment de la réalisation et la conclusion</t>
  </si>
  <si>
    <t>Doc - Général</t>
  </si>
  <si>
    <t>Finalisation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</si>
</sst>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6"/>
              <c:pt idx="0">
                <c:v>Absences - Imprévus </c:v>
              </c:pt>
              <c:pt idx="1">
                <c:v>Doc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Doc - Maquettes</c:v>
              </c:pt>
              <c:pt idx="5">
                <c:v>Doc - Entretien avec les experts / chef de projet</c:v>
              </c:pt>
              <c:pt idx="6">
                <c:v>Doc - Base de données</c:v>
              </c:pt>
              <c:pt idx="7">
                <c:v>Doc - Analyse</c:v>
              </c:pt>
              <c:pt idx="8">
                <c:v>Dev - Base de données</c:v>
              </c:pt>
              <c:pt idx="9">
                <c:v>Dev - Page des tâches</c:v>
              </c:pt>
              <c:pt idx="10">
                <c:v>Dev - ToDoList</c:v>
              </c:pt>
              <c:pt idx="11">
                <c:v>Dev - Général</c:v>
              </c:pt>
              <c:pt idx="12">
                <c:v>Dev - Interfaces</c:v>
              </c:pt>
              <c:pt idx="13">
                <c:v>Dev - Github</c:v>
              </c:pt>
              <c:pt idx="14">
                <c:v>Dev - Tests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4967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30</v>
      </c>
      <c r="C35" s="168"/>
      <c r="D35" s="168"/>
      <c r="E35" s="107" t="s">
        <v>39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31</v>
      </c>
      <c r="C37" s="169"/>
      <c r="D37" s="169"/>
      <c r="E37" s="109" t="s">
        <v>39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28</v>
      </c>
      <c r="E39" s="140" t="s">
        <v>39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7" zoomScale="70" zoomScaleNormal="70" zoomScaleSheetLayoutView="43" workbookViewId="0">
      <selection activeCell="C33" sqref="C33:C3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29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5</v>
      </c>
      <c r="D4" s="142"/>
      <c r="E4" s="13" t="s">
        <v>49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50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51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55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16</v>
      </c>
      <c r="D9" s="142"/>
      <c r="E9" s="13" t="s">
        <v>20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21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40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40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40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41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41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41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6</v>
      </c>
      <c r="D13" s="145"/>
      <c r="E13" s="196" t="s">
        <v>37</v>
      </c>
      <c r="F13" s="170" t="s">
        <v>7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26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17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32</v>
      </c>
      <c r="K14" s="173"/>
      <c r="L14" s="173"/>
      <c r="M14" s="173"/>
      <c r="N14" s="104"/>
      <c r="O14" s="104"/>
      <c r="P14" s="174" t="s">
        <v>22</v>
      </c>
      <c r="Q14" s="174"/>
      <c r="R14" s="174"/>
      <c r="S14" s="174"/>
      <c r="T14" s="129"/>
      <c r="U14" s="129"/>
      <c r="V14" s="173" t="s">
        <v>33</v>
      </c>
      <c r="W14" s="173"/>
      <c r="X14" s="173"/>
      <c r="Y14" s="173"/>
      <c r="Z14" s="104"/>
      <c r="AA14" s="104"/>
      <c r="AB14" s="174" t="s">
        <v>23</v>
      </c>
      <c r="AC14" s="174"/>
      <c r="AD14" s="174"/>
      <c r="AE14" s="174"/>
      <c r="AF14" s="129"/>
      <c r="AG14" s="129"/>
      <c r="AH14" s="173" t="s">
        <v>34</v>
      </c>
      <c r="AI14" s="173"/>
      <c r="AJ14" s="173"/>
      <c r="AK14" s="173"/>
      <c r="AL14" s="104"/>
      <c r="AM14" s="104"/>
      <c r="AN14" s="174" t="s">
        <v>24</v>
      </c>
      <c r="AO14" s="174"/>
      <c r="AP14" s="174"/>
      <c r="AQ14" s="174"/>
      <c r="AR14" s="129"/>
      <c r="AS14" s="129"/>
      <c r="AT14" s="173" t="s">
        <v>35</v>
      </c>
      <c r="AU14" s="173"/>
      <c r="AV14" s="173"/>
      <c r="AW14" s="173"/>
      <c r="AX14" s="104"/>
      <c r="AY14" s="104"/>
      <c r="AZ14" s="174" t="s">
        <v>25</v>
      </c>
      <c r="BA14" s="174"/>
      <c r="BB14" s="174"/>
      <c r="BC14" s="174"/>
      <c r="BD14" s="129"/>
      <c r="BE14" s="129"/>
      <c r="BF14" s="173" t="s">
        <v>36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32</v>
      </c>
      <c r="BS14" s="173"/>
      <c r="BT14" s="173"/>
      <c r="BU14" s="173"/>
      <c r="BV14" s="104"/>
      <c r="BW14" s="104"/>
      <c r="BX14" s="174" t="s">
        <v>22</v>
      </c>
      <c r="BY14" s="174"/>
      <c r="BZ14" s="174"/>
      <c r="CA14" s="174"/>
      <c r="CB14" s="129"/>
      <c r="CC14" s="129"/>
      <c r="CD14" s="173" t="s">
        <v>33</v>
      </c>
      <c r="CE14" s="173"/>
      <c r="CF14" s="173"/>
      <c r="CG14" s="173"/>
      <c r="CH14" s="104"/>
      <c r="CI14" s="104"/>
      <c r="CJ14" s="174" t="s">
        <v>23</v>
      </c>
      <c r="CK14" s="174"/>
      <c r="CL14" s="174"/>
      <c r="CM14" s="174"/>
      <c r="CN14" s="129"/>
      <c r="CO14" s="129"/>
      <c r="CP14" s="173" t="s">
        <v>34</v>
      </c>
      <c r="CQ14" s="173"/>
      <c r="CR14" s="173"/>
      <c r="CS14" s="173"/>
      <c r="CT14" s="104"/>
      <c r="CU14" s="104"/>
      <c r="CV14" s="174" t="s">
        <v>24</v>
      </c>
      <c r="CW14" s="174"/>
      <c r="CX14" s="174"/>
      <c r="CY14" s="174"/>
      <c r="CZ14" s="129"/>
      <c r="DA14" s="129"/>
      <c r="DB14" s="173" t="s">
        <v>35</v>
      </c>
      <c r="DC14" s="173"/>
      <c r="DD14" s="173"/>
      <c r="DE14" s="173"/>
      <c r="DF14" s="104"/>
      <c r="DG14" s="104"/>
      <c r="DH14" s="174" t="s">
        <v>25</v>
      </c>
      <c r="DI14" s="174"/>
      <c r="DJ14" s="174"/>
      <c r="DK14" s="174"/>
      <c r="DL14" s="129"/>
      <c r="DM14" s="129"/>
      <c r="DN14" s="173" t="s">
        <v>36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32</v>
      </c>
      <c r="EA14" s="173"/>
      <c r="EB14" s="173"/>
      <c r="EC14" s="173"/>
      <c r="ED14" s="104"/>
      <c r="EE14" s="104"/>
      <c r="EF14" s="174" t="s">
        <v>22</v>
      </c>
      <c r="EG14" s="174"/>
      <c r="EH14" s="174"/>
      <c r="EI14" s="174"/>
      <c r="EJ14" s="129"/>
      <c r="EK14" s="129"/>
      <c r="EL14" s="173" t="s">
        <v>33</v>
      </c>
      <c r="EM14" s="173"/>
      <c r="EN14" s="173"/>
      <c r="EO14" s="173"/>
      <c r="EP14" s="104"/>
      <c r="EQ14" s="104"/>
      <c r="ER14" s="174" t="s">
        <v>23</v>
      </c>
      <c r="ES14" s="174"/>
      <c r="ET14" s="174"/>
      <c r="EU14" s="174"/>
      <c r="EV14" s="129"/>
      <c r="EW14" s="129"/>
      <c r="EX14" s="173" t="s">
        <v>34</v>
      </c>
      <c r="EY14" s="173"/>
      <c r="EZ14" s="173"/>
      <c r="FA14" s="173"/>
      <c r="FB14" s="104"/>
      <c r="FC14" s="104"/>
      <c r="FD14" s="174" t="s">
        <v>24</v>
      </c>
      <c r="FE14" s="174"/>
      <c r="FF14" s="174"/>
      <c r="FG14" s="174"/>
      <c r="FH14" s="129"/>
      <c r="FI14" s="129"/>
      <c r="FJ14" s="173" t="s">
        <v>35</v>
      </c>
      <c r="FK14" s="173"/>
      <c r="FL14" s="173"/>
      <c r="FM14" s="173"/>
      <c r="FN14" s="104"/>
      <c r="FO14" s="104"/>
      <c r="FP14" s="174" t="s">
        <v>25</v>
      </c>
      <c r="FQ14" s="174"/>
      <c r="FR14" s="174"/>
      <c r="FS14" s="174"/>
      <c r="FT14" s="129"/>
      <c r="FU14" s="129"/>
      <c r="FV14" s="173" t="s">
        <v>36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18</v>
      </c>
      <c r="B15" s="63" t="str">
        <f>IF(LEN(C15)=0,"",C15)</f>
        <v xml:space="preserve">Absences - Imprévus </v>
      </c>
      <c r="C15" s="179" t="s">
        <v>42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19</v>
      </c>
      <c r="B16" s="63" t="str">
        <f>IF(LEN(C17)=0,"",C17)</f>
        <v>Doc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18</v>
      </c>
      <c r="B17" s="63" t="str">
        <f>IF(LEN(C19)=0,"",C19)</f>
        <v>Doc - Journal de travail</v>
      </c>
      <c r="C17" s="179" t="s">
        <v>43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19</v>
      </c>
      <c r="B18" s="63" t="str">
        <f>IF(LEN(C21)=0,"",C21)</f>
        <v>Doc - Rapport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18</v>
      </c>
      <c r="B19" s="63" t="str">
        <f>IF(LEN(C23)=0,"",C23)</f>
        <v>Doc - Maquettes</v>
      </c>
      <c r="C19" s="179" t="s">
        <v>15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19</v>
      </c>
      <c r="B20" s="63" t="str">
        <f>IF(LEN(C25)=0,"",C25)</f>
        <v>Doc - Entretien avec les experts / chef de projet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18</v>
      </c>
      <c r="B21" s="63" t="str">
        <f>IF(LEN(C27)=0,"",C27)</f>
        <v>Doc - Base de données</v>
      </c>
      <c r="C21" s="179" t="s">
        <v>14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19</v>
      </c>
      <c r="B22" s="63" t="str">
        <f>IF(LEN(C29)=0,"",C29)</f>
        <v>Doc - Analyse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18</v>
      </c>
      <c r="B23" s="63" t="str">
        <f>IF(LEN(C31)=0,"",C31)</f>
        <v>Doc - Général</v>
      </c>
      <c r="C23" s="179" t="s">
        <v>44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19</v>
      </c>
      <c r="B24" s="63" t="str">
        <f>IF(LEN(C33)=0,"",C33)</f>
        <v>Dev - Page des tâches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18</v>
      </c>
      <c r="B25" s="63" t="str">
        <f>IF(LEN(C35)=0,"",C35)</f>
        <v>Dev - ToDoList</v>
      </c>
      <c r="C25" s="179" t="s">
        <v>54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19</v>
      </c>
      <c r="B26" s="63" t="str">
        <f>IF(LEN(C37)=0,"",C37)</f>
        <v>Dev - Général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18</v>
      </c>
      <c r="B27" s="63" t="str">
        <f>IF(LEN(C39)=0,"",C39)</f>
        <v>Dev - Interfaces</v>
      </c>
      <c r="C27" s="179" t="s">
        <v>65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19</v>
      </c>
      <c r="B28" s="63" t="str">
        <f>IF(LEN(C41)=0,"",C41)</f>
        <v>Dev - Github</v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18</v>
      </c>
      <c r="B29" s="63" t="str">
        <f>IF(LEN(C43)=0,"",C43)</f>
        <v>Dev - Tests</v>
      </c>
      <c r="C29" s="179" t="s">
        <v>73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19</v>
      </c>
      <c r="B30" s="63" t="str">
        <f>IF(LEN(C45)=0,"",C45)</f>
        <v>Dev - Base de données</v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18</v>
      </c>
      <c r="B31" s="63" t="str">
        <f>IF(LEN(C47)=0,"",C47)</f>
        <v/>
      </c>
      <c r="C31" s="179" t="s">
        <v>100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19</v>
      </c>
      <c r="B32" s="63" t="str">
        <f>IF(LEN(C49)=0,"",C49)</f>
        <v/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18</v>
      </c>
      <c r="B33" s="63" t="str">
        <f>IF(LEN(C51)=0,"",C51)</f>
        <v/>
      </c>
      <c r="C33" s="179" t="s">
        <v>58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19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18</v>
      </c>
      <c r="B35" s="63" t="str">
        <f>IF(LEN(C55)=0,"",C55)</f>
        <v/>
      </c>
      <c r="C35" s="179" t="s">
        <v>59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19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18</v>
      </c>
      <c r="B37" s="63" t="str">
        <f>IF(LEN(C59)=0,"",C59)</f>
        <v/>
      </c>
      <c r="C37" s="179" t="s">
        <v>60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19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18</v>
      </c>
      <c r="B39" s="63" t="str">
        <f>IF(LEN(C63)=0,"",C63)</f>
        <v/>
      </c>
      <c r="C39" s="179" t="s">
        <v>46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19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18</v>
      </c>
      <c r="B41" s="63" t="str">
        <f>IF(LEN(C67)=0,"",C67)</f>
        <v/>
      </c>
      <c r="C41" s="179" t="s">
        <v>47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19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18</v>
      </c>
      <c r="B43" s="63" t="str">
        <f>IF(LEN(C71)=0,"",C71)</f>
        <v/>
      </c>
      <c r="C43" s="179" t="s">
        <v>77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19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18</v>
      </c>
      <c r="B45" s="63" t="str">
        <f>IF(LEN(C75)=0,"",C75)</f>
        <v/>
      </c>
      <c r="C45" s="179" t="s">
        <v>45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19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18</v>
      </c>
      <c r="B47" s="63" t="str">
        <f>IF(LEN(C79)=0,"",C79)</f>
        <v/>
      </c>
      <c r="C47" s="179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19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18</v>
      </c>
      <c r="B49" s="63" t="str">
        <f>IF(LEN(C83)=0,"",C83)</f>
        <v/>
      </c>
      <c r="C49" s="179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19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18</v>
      </c>
      <c r="B51" s="63" t="str">
        <f>IF(LEN(C87)=0,"",C87)</f>
        <v/>
      </c>
      <c r="C51" s="179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19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18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19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18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19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18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19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18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19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18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19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18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19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18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19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18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19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18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19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18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19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18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19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18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19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18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19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18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19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18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19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18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19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18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19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18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19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18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19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18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19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18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19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8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9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295" activePane="bottomLeft" state="frozen"/>
      <selection activeCell="BC13" sqref="BC13"/>
      <selection pane="bottomLeft" activeCell="D299" sqref="D299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7.5703125" style="125" customWidth="1"/>
    <col min="6" max="6" width="24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10</v>
      </c>
      <c r="B2" s="164">
        <v>31</v>
      </c>
      <c r="C2" s="164"/>
      <c r="D2" s="82" t="s">
        <v>13</v>
      </c>
      <c r="E2" s="94">
        <v>44713</v>
      </c>
      <c r="F2" s="126" t="s">
        <v>53</v>
      </c>
      <c r="G2" s="46"/>
    </row>
    <row r="3" spans="1:7" s="47" customFormat="1" ht="30" customHeight="1" thickBot="1" x14ac:dyDescent="0.3">
      <c r="A3" s="80" t="s">
        <v>4</v>
      </c>
      <c r="B3" s="151" t="s">
        <v>38</v>
      </c>
      <c r="C3" s="152"/>
      <c r="D3" s="80" t="s">
        <v>11</v>
      </c>
      <c r="E3" s="204" t="s">
        <v>12</v>
      </c>
      <c r="F3" s="205"/>
      <c r="G3" s="46"/>
    </row>
    <row r="4" spans="1:7" s="52" customFormat="1" x14ac:dyDescent="0.3">
      <c r="A4" s="53" t="s">
        <v>15</v>
      </c>
      <c r="B4" s="54">
        <v>4</v>
      </c>
      <c r="C4" s="154" t="str">
        <f t="shared" ref="C4:C5" si="0" xml:space="preserve"> IF(B4="","",setValueToTime(B4))</f>
        <v>0h20min</v>
      </c>
      <c r="D4" s="167" t="s">
        <v>66</v>
      </c>
      <c r="E4" s="206"/>
      <c r="F4" s="207"/>
      <c r="G4" s="51"/>
    </row>
    <row r="5" spans="1:7" s="52" customFormat="1" x14ac:dyDescent="0.3">
      <c r="A5" s="53" t="s">
        <v>47</v>
      </c>
      <c r="B5" s="54">
        <v>1</v>
      </c>
      <c r="C5" s="154" t="str">
        <f t="shared" si="0"/>
        <v>0h5min</v>
      </c>
      <c r="D5" s="167" t="s">
        <v>81</v>
      </c>
      <c r="E5" s="208"/>
      <c r="F5" s="209"/>
      <c r="G5" s="51"/>
    </row>
    <row r="6" spans="1:7" s="52" customFormat="1" x14ac:dyDescent="0.3">
      <c r="A6" s="53" t="s">
        <v>100</v>
      </c>
      <c r="B6" s="54">
        <v>27</v>
      </c>
      <c r="C6" s="154" t="str">
        <f t="shared" ref="C5:C11" si="1" xml:space="preserve"> IF(B6="","",setValueToTime(B6))</f>
        <v>2h15min</v>
      </c>
      <c r="D6" s="167" t="s">
        <v>101</v>
      </c>
      <c r="E6" s="208"/>
      <c r="F6" s="209"/>
      <c r="G6" s="51"/>
    </row>
    <row r="7" spans="1:7" s="52" customFormat="1" ht="27" x14ac:dyDescent="0.3">
      <c r="A7" s="53" t="s">
        <v>54</v>
      </c>
      <c r="B7" s="54">
        <v>4</v>
      </c>
      <c r="C7" s="154" t="str">
        <f t="shared" si="1"/>
        <v>0h20min</v>
      </c>
      <c r="D7" s="167" t="s">
        <v>80</v>
      </c>
      <c r="E7" s="208"/>
      <c r="F7" s="209"/>
      <c r="G7" s="51"/>
    </row>
    <row r="8" spans="1:7" s="52" customFormat="1" x14ac:dyDescent="0.3">
      <c r="A8" s="54"/>
      <c r="B8" s="54"/>
      <c r="C8" s="155" t="str">
        <f t="shared" si="1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1"/>
        <v/>
      </c>
      <c r="D9" s="55"/>
      <c r="E9" s="208"/>
      <c r="F9" s="209"/>
      <c r="G9" s="51"/>
    </row>
    <row r="10" spans="1:7" s="52" customFormat="1" x14ac:dyDescent="0.3">
      <c r="A10" s="54"/>
      <c r="B10" s="54"/>
      <c r="C10" s="155" t="str">
        <f t="shared" si="1"/>
        <v/>
      </c>
      <c r="D10" s="55"/>
      <c r="E10" s="208"/>
      <c r="F10" s="209"/>
      <c r="G10" s="51"/>
    </row>
    <row r="11" spans="1:7" s="52" customFormat="1" ht="15" thickBot="1" x14ac:dyDescent="0.35">
      <c r="A11" s="56"/>
      <c r="B11" s="56"/>
      <c r="C11" s="156" t="str">
        <f t="shared" si="1"/>
        <v/>
      </c>
      <c r="D11" s="57"/>
      <c r="E11" s="210"/>
      <c r="F11" s="211"/>
      <c r="G11" s="51"/>
    </row>
    <row r="12" spans="1:7" s="52" customFormat="1" ht="15" thickBot="1" x14ac:dyDescent="0.35">
      <c r="A12" s="111" t="s">
        <v>27</v>
      </c>
      <c r="B12" s="84">
        <f>SUM(B4:B11)</f>
        <v>36</v>
      </c>
      <c r="C12" s="111" t="str">
        <f xml:space="preserve"> setValueToTime(B12)</f>
        <v>3h</v>
      </c>
      <c r="D12" s="120"/>
      <c r="E12" s="202"/>
      <c r="F12" s="203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10</v>
      </c>
      <c r="B14" s="164">
        <v>30</v>
      </c>
      <c r="C14" s="164"/>
      <c r="D14" s="82" t="s">
        <v>13</v>
      </c>
      <c r="E14" s="94">
        <v>44713</v>
      </c>
      <c r="F14" s="126" t="s">
        <v>52</v>
      </c>
      <c r="G14" s="46"/>
    </row>
    <row r="15" spans="1:7" s="47" customFormat="1" ht="30" customHeight="1" thickBot="1" x14ac:dyDescent="0.3">
      <c r="A15" s="80" t="s">
        <v>4</v>
      </c>
      <c r="B15" s="151" t="s">
        <v>38</v>
      </c>
      <c r="C15" s="152"/>
      <c r="D15" s="80" t="s">
        <v>11</v>
      </c>
      <c r="E15" s="204" t="s">
        <v>12</v>
      </c>
      <c r="F15" s="205"/>
      <c r="G15" s="46"/>
    </row>
    <row r="16" spans="1:7" s="52" customFormat="1" x14ac:dyDescent="0.3">
      <c r="A16" s="48" t="s">
        <v>100</v>
      </c>
      <c r="B16" s="49">
        <v>45</v>
      </c>
      <c r="C16" s="153" t="str">
        <f xml:space="preserve"> IF(B16="","",setValueToTime(B16))</f>
        <v>3h45min</v>
      </c>
      <c r="D16" s="166" t="s">
        <v>101</v>
      </c>
      <c r="E16" s="206"/>
      <c r="F16" s="207"/>
      <c r="G16" s="51"/>
    </row>
    <row r="17" spans="1:7" s="52" customFormat="1" x14ac:dyDescent="0.3">
      <c r="A17" s="53"/>
      <c r="B17" s="54"/>
      <c r="C17" s="154" t="str">
        <f t="shared" ref="C17:C23" si="2" xml:space="preserve"> IF(B17="","",setValueToTime(B17))</f>
        <v/>
      </c>
      <c r="D17" s="55"/>
      <c r="E17" s="208"/>
      <c r="F17" s="209"/>
      <c r="G17" s="51"/>
    </row>
    <row r="18" spans="1:7" s="52" customFormat="1" x14ac:dyDescent="0.3">
      <c r="A18" s="53"/>
      <c r="B18" s="54"/>
      <c r="C18" s="154" t="str">
        <f t="shared" si="2"/>
        <v/>
      </c>
      <c r="D18" s="55"/>
      <c r="E18" s="208"/>
      <c r="F18" s="209"/>
      <c r="G18" s="51"/>
    </row>
    <row r="19" spans="1:7" s="52" customFormat="1" x14ac:dyDescent="0.3">
      <c r="A19" s="53"/>
      <c r="B19" s="54"/>
      <c r="C19" s="154" t="str">
        <f t="shared" si="2"/>
        <v/>
      </c>
      <c r="D19" s="55"/>
      <c r="E19" s="208"/>
      <c r="F19" s="209"/>
      <c r="G19" s="51"/>
    </row>
    <row r="20" spans="1:7" s="52" customFormat="1" x14ac:dyDescent="0.3">
      <c r="A20" s="54"/>
      <c r="B20" s="54"/>
      <c r="C20" s="155" t="str">
        <f t="shared" si="2"/>
        <v/>
      </c>
      <c r="D20" s="55"/>
      <c r="E20" s="208"/>
      <c r="F20" s="209"/>
      <c r="G20" s="51"/>
    </row>
    <row r="21" spans="1:7" s="52" customFormat="1" x14ac:dyDescent="0.3">
      <c r="A21" s="54"/>
      <c r="B21" s="54"/>
      <c r="C21" s="155" t="str">
        <f t="shared" si="2"/>
        <v/>
      </c>
      <c r="D21" s="55"/>
      <c r="E21" s="208"/>
      <c r="F21" s="209"/>
      <c r="G21" s="51"/>
    </row>
    <row r="22" spans="1:7" s="52" customFormat="1" x14ac:dyDescent="0.3">
      <c r="A22" s="54"/>
      <c r="B22" s="54"/>
      <c r="C22" s="155" t="str">
        <f t="shared" si="2"/>
        <v/>
      </c>
      <c r="D22" s="55"/>
      <c r="E22" s="208"/>
      <c r="F22" s="209"/>
      <c r="G22" s="51"/>
    </row>
    <row r="23" spans="1:7" s="52" customFormat="1" ht="15" thickBot="1" x14ac:dyDescent="0.35">
      <c r="A23" s="56"/>
      <c r="B23" s="56"/>
      <c r="C23" s="156" t="str">
        <f t="shared" si="2"/>
        <v/>
      </c>
      <c r="D23" s="57"/>
      <c r="E23" s="210"/>
      <c r="F23" s="211"/>
      <c r="G23" s="51"/>
    </row>
    <row r="24" spans="1:7" s="52" customFormat="1" ht="15" thickBot="1" x14ac:dyDescent="0.35">
      <c r="A24" s="111" t="s">
        <v>27</v>
      </c>
      <c r="B24" s="84">
        <f>SUM(B16:B23)</f>
        <v>45</v>
      </c>
      <c r="C24" s="111" t="str">
        <f xml:space="preserve"> setValueToTime(B24)</f>
        <v>3h45min</v>
      </c>
      <c r="D24" s="120"/>
      <c r="E24" s="202"/>
      <c r="F24" s="203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10</v>
      </c>
      <c r="B26" s="164">
        <v>29</v>
      </c>
      <c r="C26" s="164"/>
      <c r="D26" s="82" t="s">
        <v>13</v>
      </c>
      <c r="E26" s="94">
        <v>44711</v>
      </c>
      <c r="F26" s="126" t="s">
        <v>52</v>
      </c>
      <c r="G26" s="46"/>
    </row>
    <row r="27" spans="1:7" s="47" customFormat="1" ht="30" customHeight="1" thickBot="1" x14ac:dyDescent="0.3">
      <c r="A27" s="80" t="s">
        <v>4</v>
      </c>
      <c r="B27" s="151" t="s">
        <v>38</v>
      </c>
      <c r="C27" s="152"/>
      <c r="D27" s="80" t="s">
        <v>11</v>
      </c>
      <c r="E27" s="204" t="s">
        <v>12</v>
      </c>
      <c r="F27" s="205"/>
      <c r="G27" s="46"/>
    </row>
    <row r="28" spans="1:7" s="52" customFormat="1" x14ac:dyDescent="0.3">
      <c r="A28" s="53" t="s">
        <v>15</v>
      </c>
      <c r="B28" s="54">
        <v>2</v>
      </c>
      <c r="C28" s="154" t="str">
        <f t="shared" ref="C28:C29" si="3" xml:space="preserve"> IF(B28="","",setValueToTime(B28))</f>
        <v>0h10min</v>
      </c>
      <c r="D28" s="167" t="s">
        <v>66</v>
      </c>
      <c r="E28" s="206"/>
      <c r="F28" s="207"/>
      <c r="G28" s="51"/>
    </row>
    <row r="29" spans="1:7" s="52" customFormat="1" x14ac:dyDescent="0.3">
      <c r="A29" s="53" t="s">
        <v>47</v>
      </c>
      <c r="B29" s="54">
        <v>1</v>
      </c>
      <c r="C29" s="154" t="str">
        <f t="shared" si="3"/>
        <v>0h5min</v>
      </c>
      <c r="D29" s="167" t="s">
        <v>81</v>
      </c>
      <c r="E29" s="208"/>
      <c r="F29" s="209"/>
      <c r="G29" s="51"/>
    </row>
    <row r="30" spans="1:7" s="52" customFormat="1" x14ac:dyDescent="0.3">
      <c r="A30" s="53" t="s">
        <v>14</v>
      </c>
      <c r="B30" s="54">
        <v>33</v>
      </c>
      <c r="C30" s="154" t="str">
        <f t="shared" ref="C29:C35" si="4" xml:space="preserve"> IF(B30="","",setValueToTime(B30))</f>
        <v>2h45min</v>
      </c>
      <c r="D30" s="167" t="s">
        <v>99</v>
      </c>
      <c r="E30" s="208"/>
      <c r="F30" s="209"/>
      <c r="G30" s="51"/>
    </row>
    <row r="31" spans="1:7" s="52" customFormat="1" x14ac:dyDescent="0.3">
      <c r="A31" s="53"/>
      <c r="B31" s="54"/>
      <c r="C31" s="154" t="str">
        <f t="shared" si="4"/>
        <v/>
      </c>
      <c r="D31" s="55"/>
      <c r="E31" s="208"/>
      <c r="F31" s="209"/>
      <c r="G31" s="51"/>
    </row>
    <row r="32" spans="1:7" s="52" customFormat="1" x14ac:dyDescent="0.3">
      <c r="A32" s="54"/>
      <c r="B32" s="54"/>
      <c r="C32" s="155" t="str">
        <f t="shared" si="4"/>
        <v/>
      </c>
      <c r="D32" s="55"/>
      <c r="E32" s="208"/>
      <c r="F32" s="209"/>
      <c r="G32" s="51"/>
    </row>
    <row r="33" spans="1:7" s="52" customFormat="1" x14ac:dyDescent="0.3">
      <c r="A33" s="54"/>
      <c r="B33" s="54"/>
      <c r="C33" s="155" t="str">
        <f t="shared" si="4"/>
        <v/>
      </c>
      <c r="D33" s="55"/>
      <c r="E33" s="208"/>
      <c r="F33" s="209"/>
      <c r="G33" s="51"/>
    </row>
    <row r="34" spans="1:7" s="52" customFormat="1" x14ac:dyDescent="0.3">
      <c r="A34" s="54"/>
      <c r="B34" s="54"/>
      <c r="C34" s="155" t="str">
        <f t="shared" si="4"/>
        <v/>
      </c>
      <c r="D34" s="55"/>
      <c r="E34" s="208"/>
      <c r="F34" s="209"/>
      <c r="G34" s="51"/>
    </row>
    <row r="35" spans="1:7" s="52" customFormat="1" ht="15" thickBot="1" x14ac:dyDescent="0.35">
      <c r="A35" s="56"/>
      <c r="B35" s="56"/>
      <c r="C35" s="156" t="str">
        <f t="shared" si="4"/>
        <v/>
      </c>
      <c r="D35" s="57"/>
      <c r="E35" s="210"/>
      <c r="F35" s="211"/>
      <c r="G35" s="51"/>
    </row>
    <row r="36" spans="1:7" s="52" customFormat="1" ht="15" thickBot="1" x14ac:dyDescent="0.35">
      <c r="A36" s="111" t="s">
        <v>27</v>
      </c>
      <c r="B36" s="84">
        <f>SUM(B28:B35)</f>
        <v>36</v>
      </c>
      <c r="C36" s="111" t="str">
        <f xml:space="preserve"> setValueToTime(B36)</f>
        <v>3h</v>
      </c>
      <c r="D36" s="120"/>
      <c r="E36" s="202"/>
      <c r="F36" s="203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10</v>
      </c>
      <c r="B38" s="164">
        <v>28</v>
      </c>
      <c r="C38" s="164"/>
      <c r="D38" s="82" t="s">
        <v>13</v>
      </c>
      <c r="E38" s="94">
        <v>44706</v>
      </c>
      <c r="F38" s="126" t="s">
        <v>53</v>
      </c>
      <c r="G38" s="46"/>
    </row>
    <row r="39" spans="1:7" s="47" customFormat="1" ht="30" customHeight="1" thickBot="1" x14ac:dyDescent="0.3">
      <c r="A39" s="80" t="s">
        <v>4</v>
      </c>
      <c r="B39" s="151" t="s">
        <v>38</v>
      </c>
      <c r="C39" s="152"/>
      <c r="D39" s="80" t="s">
        <v>11</v>
      </c>
      <c r="E39" s="204" t="s">
        <v>12</v>
      </c>
      <c r="F39" s="205"/>
      <c r="G39" s="46"/>
    </row>
    <row r="40" spans="1:7" s="52" customFormat="1" x14ac:dyDescent="0.3">
      <c r="A40" s="53" t="s">
        <v>15</v>
      </c>
      <c r="B40" s="54">
        <v>4</v>
      </c>
      <c r="C40" s="154" t="str">
        <f t="shared" ref="C40:C41" si="5" xml:space="preserve"> IF(B40="","",setValueToTime(B40))</f>
        <v>0h20min</v>
      </c>
      <c r="D40" s="167" t="s">
        <v>66</v>
      </c>
      <c r="E40" s="206"/>
      <c r="F40" s="207"/>
      <c r="G40" s="51"/>
    </row>
    <row r="41" spans="1:7" s="52" customFormat="1" x14ac:dyDescent="0.3">
      <c r="A41" s="53" t="s">
        <v>47</v>
      </c>
      <c r="B41" s="54">
        <v>1</v>
      </c>
      <c r="C41" s="154" t="str">
        <f t="shared" si="5"/>
        <v>0h5min</v>
      </c>
      <c r="D41" s="167" t="s">
        <v>81</v>
      </c>
      <c r="E41" s="208"/>
      <c r="F41" s="209"/>
      <c r="G41" s="51"/>
    </row>
    <row r="42" spans="1:7" s="52" customFormat="1" x14ac:dyDescent="0.3">
      <c r="A42" s="53" t="s">
        <v>14</v>
      </c>
      <c r="B42" s="54">
        <v>36</v>
      </c>
      <c r="C42" s="154" t="str">
        <f t="shared" ref="C41:C47" si="6" xml:space="preserve"> IF(B42="","",setValueToTime(B42))</f>
        <v>3h</v>
      </c>
      <c r="D42" s="167" t="s">
        <v>99</v>
      </c>
      <c r="E42" s="208"/>
      <c r="F42" s="209"/>
      <c r="G42" s="51"/>
    </row>
    <row r="43" spans="1:7" s="52" customFormat="1" ht="27" x14ac:dyDescent="0.3">
      <c r="A43" s="53" t="s">
        <v>54</v>
      </c>
      <c r="B43" s="54">
        <v>4</v>
      </c>
      <c r="C43" s="154" t="str">
        <f t="shared" si="6"/>
        <v>0h20min</v>
      </c>
      <c r="D43" s="167" t="s">
        <v>80</v>
      </c>
      <c r="E43" s="208"/>
      <c r="F43" s="209"/>
      <c r="G43" s="51"/>
    </row>
    <row r="44" spans="1:7" s="52" customFormat="1" x14ac:dyDescent="0.3">
      <c r="A44" s="54"/>
      <c r="B44" s="54"/>
      <c r="C44" s="155" t="str">
        <f t="shared" si="6"/>
        <v/>
      </c>
      <c r="D44" s="55"/>
      <c r="E44" s="208"/>
      <c r="F44" s="209"/>
      <c r="G44" s="51"/>
    </row>
    <row r="45" spans="1:7" s="52" customFormat="1" x14ac:dyDescent="0.3">
      <c r="A45" s="54"/>
      <c r="B45" s="54"/>
      <c r="C45" s="155" t="str">
        <f t="shared" si="6"/>
        <v/>
      </c>
      <c r="D45" s="55"/>
      <c r="E45" s="208"/>
      <c r="F45" s="209"/>
      <c r="G45" s="51"/>
    </row>
    <row r="46" spans="1:7" s="52" customFormat="1" x14ac:dyDescent="0.3">
      <c r="A46" s="54"/>
      <c r="B46" s="54"/>
      <c r="C46" s="155" t="str">
        <f t="shared" si="6"/>
        <v/>
      </c>
      <c r="D46" s="55"/>
      <c r="E46" s="208"/>
      <c r="F46" s="209"/>
      <c r="G46" s="51"/>
    </row>
    <row r="47" spans="1:7" s="52" customFormat="1" ht="15" thickBot="1" x14ac:dyDescent="0.35">
      <c r="A47" s="56"/>
      <c r="B47" s="56"/>
      <c r="C47" s="156" t="str">
        <f t="shared" si="6"/>
        <v/>
      </c>
      <c r="D47" s="57"/>
      <c r="E47" s="210"/>
      <c r="F47" s="211"/>
      <c r="G47" s="51"/>
    </row>
    <row r="48" spans="1:7" s="52" customFormat="1" ht="15" thickBot="1" x14ac:dyDescent="0.35">
      <c r="A48" s="111" t="s">
        <v>27</v>
      </c>
      <c r="B48" s="84">
        <f>SUM(B40:B47)</f>
        <v>45</v>
      </c>
      <c r="C48" s="111" t="str">
        <f xml:space="preserve"> setValueToTime(B48)</f>
        <v>3h45min</v>
      </c>
      <c r="D48" s="120"/>
      <c r="E48" s="202"/>
      <c r="F48" s="203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10</v>
      </c>
      <c r="B50" s="164">
        <v>23</v>
      </c>
      <c r="C50" s="164"/>
      <c r="D50" s="82" t="s">
        <v>13</v>
      </c>
      <c r="E50" s="94">
        <v>44706</v>
      </c>
      <c r="F50" s="126" t="s">
        <v>52</v>
      </c>
      <c r="G50" s="46"/>
    </row>
    <row r="51" spans="1:7" s="47" customFormat="1" ht="30" customHeight="1" thickBot="1" x14ac:dyDescent="0.3">
      <c r="A51" s="80" t="s">
        <v>4</v>
      </c>
      <c r="B51" s="151" t="s">
        <v>38</v>
      </c>
      <c r="C51" s="152"/>
      <c r="D51" s="80" t="s">
        <v>11</v>
      </c>
      <c r="E51" s="204" t="s">
        <v>12</v>
      </c>
      <c r="F51" s="205"/>
      <c r="G51" s="46"/>
    </row>
    <row r="52" spans="1:7" s="52" customFormat="1" x14ac:dyDescent="0.3">
      <c r="A52" s="48" t="s">
        <v>14</v>
      </c>
      <c r="B52" s="49">
        <v>45</v>
      </c>
      <c r="C52" s="153" t="str">
        <f xml:space="preserve"> IF(B52="","",setValueToTime(B52))</f>
        <v>3h45min</v>
      </c>
      <c r="D52" s="166" t="s">
        <v>99</v>
      </c>
      <c r="E52" s="206"/>
      <c r="F52" s="207"/>
      <c r="G52" s="51"/>
    </row>
    <row r="53" spans="1:7" s="52" customFormat="1" x14ac:dyDescent="0.3">
      <c r="A53" s="53"/>
      <c r="B53" s="54"/>
      <c r="C53" s="154" t="str">
        <f t="shared" ref="C53:C59" si="7" xml:space="preserve"> IF(B53="","",setValueToTime(B53))</f>
        <v/>
      </c>
      <c r="D53" s="55"/>
      <c r="E53" s="208"/>
      <c r="F53" s="209"/>
      <c r="G53" s="51"/>
    </row>
    <row r="54" spans="1:7" s="52" customFormat="1" x14ac:dyDescent="0.3">
      <c r="A54" s="53"/>
      <c r="B54" s="54"/>
      <c r="C54" s="154" t="str">
        <f t="shared" si="7"/>
        <v/>
      </c>
      <c r="D54" s="55"/>
      <c r="E54" s="208"/>
      <c r="F54" s="209"/>
      <c r="G54" s="51"/>
    </row>
    <row r="55" spans="1:7" s="52" customFormat="1" x14ac:dyDescent="0.3">
      <c r="A55" s="53"/>
      <c r="B55" s="54"/>
      <c r="C55" s="154" t="str">
        <f t="shared" si="7"/>
        <v/>
      </c>
      <c r="D55" s="55"/>
      <c r="E55" s="208"/>
      <c r="F55" s="209"/>
      <c r="G55" s="51"/>
    </row>
    <row r="56" spans="1:7" s="52" customFormat="1" x14ac:dyDescent="0.3">
      <c r="A56" s="54"/>
      <c r="B56" s="54"/>
      <c r="C56" s="155" t="str">
        <f t="shared" si="7"/>
        <v/>
      </c>
      <c r="D56" s="55"/>
      <c r="E56" s="208"/>
      <c r="F56" s="209"/>
      <c r="G56" s="51"/>
    </row>
    <row r="57" spans="1:7" s="52" customFormat="1" x14ac:dyDescent="0.3">
      <c r="A57" s="54"/>
      <c r="B57" s="54"/>
      <c r="C57" s="155" t="str">
        <f t="shared" si="7"/>
        <v/>
      </c>
      <c r="D57" s="55"/>
      <c r="E57" s="208"/>
      <c r="F57" s="209"/>
      <c r="G57" s="51"/>
    </row>
    <row r="58" spans="1:7" s="52" customFormat="1" x14ac:dyDescent="0.3">
      <c r="A58" s="54"/>
      <c r="B58" s="54"/>
      <c r="C58" s="155" t="str">
        <f t="shared" si="7"/>
        <v/>
      </c>
      <c r="D58" s="55"/>
      <c r="E58" s="208"/>
      <c r="F58" s="209"/>
      <c r="G58" s="51"/>
    </row>
    <row r="59" spans="1:7" s="52" customFormat="1" ht="15" thickBot="1" x14ac:dyDescent="0.35">
      <c r="A59" s="56"/>
      <c r="B59" s="56"/>
      <c r="C59" s="156" t="str">
        <f t="shared" si="7"/>
        <v/>
      </c>
      <c r="D59" s="57"/>
      <c r="E59" s="210"/>
      <c r="F59" s="211"/>
      <c r="G59" s="51"/>
    </row>
    <row r="60" spans="1:7" s="52" customFormat="1" ht="15" thickBot="1" x14ac:dyDescent="0.35">
      <c r="A60" s="111" t="s">
        <v>27</v>
      </c>
      <c r="B60" s="84">
        <f>SUM(B52:B59)</f>
        <v>45</v>
      </c>
      <c r="C60" s="111" t="str">
        <f xml:space="preserve"> setValueToTime(B60)</f>
        <v>3h45min</v>
      </c>
      <c r="D60" s="120"/>
      <c r="E60" s="202"/>
      <c r="F60" s="203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10</v>
      </c>
      <c r="B62" s="164">
        <v>22</v>
      </c>
      <c r="C62" s="164"/>
      <c r="D62" s="82" t="s">
        <v>13</v>
      </c>
      <c r="E62" s="94">
        <v>44704</v>
      </c>
      <c r="F62" s="126" t="s">
        <v>52</v>
      </c>
      <c r="G62" s="46"/>
    </row>
    <row r="63" spans="1:7" s="47" customFormat="1" ht="30" customHeight="1" thickBot="1" x14ac:dyDescent="0.3">
      <c r="A63" s="80" t="s">
        <v>4</v>
      </c>
      <c r="B63" s="151" t="s">
        <v>38</v>
      </c>
      <c r="C63" s="152"/>
      <c r="D63" s="80" t="s">
        <v>11</v>
      </c>
      <c r="E63" s="204" t="s">
        <v>12</v>
      </c>
      <c r="F63" s="205"/>
      <c r="G63" s="46"/>
    </row>
    <row r="64" spans="1:7" s="52" customFormat="1" x14ac:dyDescent="0.3">
      <c r="A64" s="53" t="s">
        <v>15</v>
      </c>
      <c r="B64" s="54">
        <v>2</v>
      </c>
      <c r="C64" s="154" t="str">
        <f t="shared" ref="C64:C65" si="8" xml:space="preserve"> IF(B64="","",setValueToTime(B64))</f>
        <v>0h10min</v>
      </c>
      <c r="D64" s="167" t="s">
        <v>66</v>
      </c>
      <c r="E64" s="206"/>
      <c r="F64" s="207"/>
      <c r="G64" s="51"/>
    </row>
    <row r="65" spans="1:7" s="52" customFormat="1" x14ac:dyDescent="0.3">
      <c r="A65" s="53" t="s">
        <v>47</v>
      </c>
      <c r="B65" s="54">
        <v>1</v>
      </c>
      <c r="C65" s="154" t="str">
        <f t="shared" si="8"/>
        <v>0h5min</v>
      </c>
      <c r="D65" s="167" t="s">
        <v>81</v>
      </c>
      <c r="E65" s="208"/>
      <c r="F65" s="209"/>
      <c r="G65" s="51"/>
    </row>
    <row r="66" spans="1:7" s="52" customFormat="1" x14ac:dyDescent="0.3">
      <c r="A66" s="53" t="s">
        <v>46</v>
      </c>
      <c r="B66" s="54">
        <v>33</v>
      </c>
      <c r="C66" s="154" t="str">
        <f t="shared" ref="C66:C71" si="9" xml:space="preserve"> IF(B66="","",setValueToTime(B66))</f>
        <v>2h45min</v>
      </c>
      <c r="D66" s="167" t="s">
        <v>98</v>
      </c>
      <c r="E66" s="208"/>
      <c r="F66" s="209"/>
      <c r="G66" s="51"/>
    </row>
    <row r="67" spans="1:7" s="52" customFormat="1" x14ac:dyDescent="0.3">
      <c r="A67" s="53"/>
      <c r="B67" s="54"/>
      <c r="C67" s="154" t="str">
        <f t="shared" si="9"/>
        <v/>
      </c>
      <c r="D67" s="55"/>
      <c r="E67" s="208"/>
      <c r="F67" s="209"/>
      <c r="G67" s="51"/>
    </row>
    <row r="68" spans="1:7" s="52" customFormat="1" x14ac:dyDescent="0.3">
      <c r="A68" s="54"/>
      <c r="B68" s="54"/>
      <c r="C68" s="155" t="str">
        <f t="shared" si="9"/>
        <v/>
      </c>
      <c r="D68" s="55"/>
      <c r="E68" s="208"/>
      <c r="F68" s="209"/>
      <c r="G68" s="51"/>
    </row>
    <row r="69" spans="1:7" s="52" customFormat="1" x14ac:dyDescent="0.3">
      <c r="A69" s="54"/>
      <c r="B69" s="54"/>
      <c r="C69" s="155" t="str">
        <f t="shared" si="9"/>
        <v/>
      </c>
      <c r="D69" s="55"/>
      <c r="E69" s="208"/>
      <c r="F69" s="209"/>
      <c r="G69" s="51"/>
    </row>
    <row r="70" spans="1:7" s="52" customFormat="1" x14ac:dyDescent="0.3">
      <c r="A70" s="54"/>
      <c r="B70" s="54"/>
      <c r="C70" s="155" t="str">
        <f t="shared" si="9"/>
        <v/>
      </c>
      <c r="D70" s="55"/>
      <c r="E70" s="208"/>
      <c r="F70" s="209"/>
      <c r="G70" s="51"/>
    </row>
    <row r="71" spans="1:7" s="52" customFormat="1" ht="15" thickBot="1" x14ac:dyDescent="0.35">
      <c r="A71" s="56"/>
      <c r="B71" s="56"/>
      <c r="C71" s="156" t="str">
        <f t="shared" si="9"/>
        <v/>
      </c>
      <c r="D71" s="57"/>
      <c r="E71" s="210"/>
      <c r="F71" s="211"/>
      <c r="G71" s="51"/>
    </row>
    <row r="72" spans="1:7" s="52" customFormat="1" ht="15" thickBot="1" x14ac:dyDescent="0.35">
      <c r="A72" s="111" t="s">
        <v>27</v>
      </c>
      <c r="B72" s="84">
        <f>SUM(B64:B71)</f>
        <v>36</v>
      </c>
      <c r="C72" s="111" t="str">
        <f xml:space="preserve"> setValueToTime(B72)</f>
        <v>3h</v>
      </c>
      <c r="D72" s="120"/>
      <c r="E72" s="202"/>
      <c r="F72" s="203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10</v>
      </c>
      <c r="B74" s="164">
        <v>21</v>
      </c>
      <c r="C74" s="164"/>
      <c r="D74" s="82" t="s">
        <v>13</v>
      </c>
      <c r="E74" s="94">
        <v>44701</v>
      </c>
      <c r="F74" s="126" t="s">
        <v>53</v>
      </c>
      <c r="G74" s="46"/>
    </row>
    <row r="75" spans="1:7" s="47" customFormat="1" ht="30" customHeight="1" thickBot="1" x14ac:dyDescent="0.3">
      <c r="A75" s="80" t="s">
        <v>4</v>
      </c>
      <c r="B75" s="151" t="s">
        <v>38</v>
      </c>
      <c r="C75" s="152"/>
      <c r="D75" s="80" t="s">
        <v>11</v>
      </c>
      <c r="E75" s="204" t="s">
        <v>12</v>
      </c>
      <c r="F75" s="205"/>
      <c r="G75" s="46"/>
    </row>
    <row r="76" spans="1:7" s="52" customFormat="1" x14ac:dyDescent="0.3">
      <c r="A76" s="53" t="s">
        <v>15</v>
      </c>
      <c r="B76" s="54">
        <v>4</v>
      </c>
      <c r="C76" s="154" t="str">
        <f t="shared" ref="C76:C79" si="10" xml:space="preserve"> IF(B76="","",setValueToTime(B76))</f>
        <v>0h20min</v>
      </c>
      <c r="D76" s="167" t="s">
        <v>66</v>
      </c>
      <c r="E76" s="206"/>
      <c r="F76" s="207"/>
      <c r="G76" s="51"/>
    </row>
    <row r="77" spans="1:7" s="52" customFormat="1" x14ac:dyDescent="0.3">
      <c r="A77" s="53" t="s">
        <v>47</v>
      </c>
      <c r="B77" s="54">
        <v>1</v>
      </c>
      <c r="C77" s="154" t="str">
        <f t="shared" si="10"/>
        <v>0h5min</v>
      </c>
      <c r="D77" s="167" t="s">
        <v>81</v>
      </c>
      <c r="E77" s="208"/>
      <c r="F77" s="209"/>
      <c r="G77" s="51"/>
    </row>
    <row r="78" spans="1:7" s="52" customFormat="1" x14ac:dyDescent="0.3">
      <c r="A78" s="53" t="s">
        <v>60</v>
      </c>
      <c r="B78" s="54">
        <v>27</v>
      </c>
      <c r="C78" s="154" t="str">
        <f t="shared" si="10"/>
        <v>2h15min</v>
      </c>
      <c r="D78" s="167" t="s">
        <v>97</v>
      </c>
      <c r="E78" s="208"/>
      <c r="F78" s="209"/>
      <c r="G78" s="51"/>
    </row>
    <row r="79" spans="1:7" s="52" customFormat="1" ht="27" x14ac:dyDescent="0.3">
      <c r="A79" s="53" t="s">
        <v>54</v>
      </c>
      <c r="B79" s="54">
        <v>4</v>
      </c>
      <c r="C79" s="154" t="str">
        <f t="shared" si="10"/>
        <v>0h20min</v>
      </c>
      <c r="D79" s="167" t="s">
        <v>80</v>
      </c>
      <c r="E79" s="208"/>
      <c r="F79" s="209"/>
      <c r="G79" s="51"/>
    </row>
    <row r="80" spans="1:7" s="52" customFormat="1" x14ac:dyDescent="0.3">
      <c r="A80" s="54"/>
      <c r="B80" s="54"/>
      <c r="C80" s="155" t="str">
        <f t="shared" ref="C77:C83" si="11" xml:space="preserve"> IF(B80="","",setValueToTime(B80))</f>
        <v/>
      </c>
      <c r="D80" s="55"/>
      <c r="E80" s="208"/>
      <c r="F80" s="209"/>
      <c r="G80" s="51"/>
    </row>
    <row r="81" spans="1:7" s="52" customFormat="1" x14ac:dyDescent="0.3">
      <c r="A81" s="54"/>
      <c r="B81" s="54"/>
      <c r="C81" s="155" t="str">
        <f t="shared" si="11"/>
        <v/>
      </c>
      <c r="D81" s="55"/>
      <c r="E81" s="208"/>
      <c r="F81" s="209"/>
      <c r="G81" s="51"/>
    </row>
    <row r="82" spans="1:7" s="52" customFormat="1" x14ac:dyDescent="0.3">
      <c r="A82" s="54"/>
      <c r="B82" s="54"/>
      <c r="C82" s="155" t="str">
        <f t="shared" si="11"/>
        <v/>
      </c>
      <c r="D82" s="55"/>
      <c r="E82" s="208"/>
      <c r="F82" s="209"/>
      <c r="G82" s="51"/>
    </row>
    <row r="83" spans="1:7" s="52" customFormat="1" ht="15" thickBot="1" x14ac:dyDescent="0.35">
      <c r="A83" s="56"/>
      <c r="B83" s="56"/>
      <c r="C83" s="156" t="str">
        <f t="shared" si="11"/>
        <v/>
      </c>
      <c r="D83" s="57"/>
      <c r="E83" s="210"/>
      <c r="F83" s="211"/>
      <c r="G83" s="51"/>
    </row>
    <row r="84" spans="1:7" s="52" customFormat="1" ht="15" thickBot="1" x14ac:dyDescent="0.35">
      <c r="A84" s="111" t="s">
        <v>27</v>
      </c>
      <c r="B84" s="84">
        <f>SUM(B76:B83)</f>
        <v>36</v>
      </c>
      <c r="C84" s="111" t="str">
        <f xml:space="preserve"> setValueToTime(B84)</f>
        <v>3h</v>
      </c>
      <c r="D84" s="120"/>
      <c r="E84" s="202"/>
      <c r="F84" s="203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10</v>
      </c>
      <c r="B86" s="164">
        <v>20</v>
      </c>
      <c r="C86" s="164"/>
      <c r="D86" s="82" t="s">
        <v>13</v>
      </c>
      <c r="E86" s="94">
        <v>44701</v>
      </c>
      <c r="F86" s="126" t="s">
        <v>52</v>
      </c>
      <c r="G86" s="46"/>
    </row>
    <row r="87" spans="1:7" s="47" customFormat="1" ht="30" customHeight="1" thickBot="1" x14ac:dyDescent="0.3">
      <c r="A87" s="80" t="s">
        <v>4</v>
      </c>
      <c r="B87" s="151" t="s">
        <v>38</v>
      </c>
      <c r="C87" s="152"/>
      <c r="D87" s="80" t="s">
        <v>11</v>
      </c>
      <c r="E87" s="204" t="s">
        <v>12</v>
      </c>
      <c r="F87" s="205"/>
      <c r="G87" s="46"/>
    </row>
    <row r="88" spans="1:7" s="52" customFormat="1" x14ac:dyDescent="0.3">
      <c r="A88" s="216" t="s">
        <v>60</v>
      </c>
      <c r="B88" s="49">
        <v>36</v>
      </c>
      <c r="C88" s="153" t="str">
        <f xml:space="preserve"> IF(B88="","",setValueToTime(B88))</f>
        <v>3h</v>
      </c>
      <c r="D88" s="166" t="s">
        <v>97</v>
      </c>
      <c r="E88" s="206"/>
      <c r="F88" s="207"/>
      <c r="G88" s="51"/>
    </row>
    <row r="89" spans="1:7" s="52" customFormat="1" x14ac:dyDescent="0.3">
      <c r="A89" s="217"/>
      <c r="B89" s="54"/>
      <c r="C89" s="154" t="str">
        <f t="shared" ref="C89:C95" si="12" xml:space="preserve"> IF(B89="","",setValueToTime(B89))</f>
        <v/>
      </c>
      <c r="D89" s="167"/>
      <c r="E89" s="208"/>
      <c r="F89" s="209"/>
      <c r="G89" s="51"/>
    </row>
    <row r="90" spans="1:7" s="52" customFormat="1" x14ac:dyDescent="0.3">
      <c r="A90" s="53"/>
      <c r="B90" s="54"/>
      <c r="C90" s="154" t="str">
        <f t="shared" si="12"/>
        <v/>
      </c>
      <c r="D90" s="55"/>
      <c r="E90" s="208"/>
      <c r="F90" s="209"/>
      <c r="G90" s="51"/>
    </row>
    <row r="91" spans="1:7" s="52" customFormat="1" x14ac:dyDescent="0.3">
      <c r="A91" s="53"/>
      <c r="B91" s="54"/>
      <c r="C91" s="154" t="str">
        <f t="shared" si="12"/>
        <v/>
      </c>
      <c r="D91" s="55"/>
      <c r="E91" s="208"/>
      <c r="F91" s="209"/>
      <c r="G91" s="51"/>
    </row>
    <row r="92" spans="1:7" s="52" customFormat="1" x14ac:dyDescent="0.3">
      <c r="A92" s="54"/>
      <c r="B92" s="54"/>
      <c r="C92" s="155" t="str">
        <f t="shared" si="12"/>
        <v/>
      </c>
      <c r="D92" s="55"/>
      <c r="E92" s="208"/>
      <c r="F92" s="209"/>
      <c r="G92" s="51"/>
    </row>
    <row r="93" spans="1:7" s="52" customFormat="1" x14ac:dyDescent="0.3">
      <c r="A93" s="54"/>
      <c r="B93" s="54"/>
      <c r="C93" s="155" t="str">
        <f t="shared" si="12"/>
        <v/>
      </c>
      <c r="D93" s="55"/>
      <c r="E93" s="208"/>
      <c r="F93" s="209"/>
      <c r="G93" s="51"/>
    </row>
    <row r="94" spans="1:7" s="52" customFormat="1" x14ac:dyDescent="0.3">
      <c r="A94" s="54"/>
      <c r="B94" s="54"/>
      <c r="C94" s="155" t="str">
        <f t="shared" si="12"/>
        <v/>
      </c>
      <c r="D94" s="55"/>
      <c r="E94" s="208"/>
      <c r="F94" s="209"/>
      <c r="G94" s="51"/>
    </row>
    <row r="95" spans="1:7" s="52" customFormat="1" ht="15" thickBot="1" x14ac:dyDescent="0.35">
      <c r="A95" s="56"/>
      <c r="B95" s="56"/>
      <c r="C95" s="156" t="str">
        <f t="shared" si="12"/>
        <v/>
      </c>
      <c r="D95" s="57"/>
      <c r="E95" s="210"/>
      <c r="F95" s="211"/>
      <c r="G95" s="51"/>
    </row>
    <row r="96" spans="1:7" s="52" customFormat="1" ht="15" thickBot="1" x14ac:dyDescent="0.35">
      <c r="A96" s="111" t="s">
        <v>27</v>
      </c>
      <c r="B96" s="84">
        <f>SUM(B88:B95)</f>
        <v>36</v>
      </c>
      <c r="C96" s="111" t="str">
        <f xml:space="preserve"> setValueToTime(B96)</f>
        <v>3h</v>
      </c>
      <c r="D96" s="120"/>
      <c r="E96" s="202"/>
      <c r="F96" s="203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10</v>
      </c>
      <c r="B98" s="164">
        <v>19</v>
      </c>
      <c r="C98" s="164"/>
      <c r="D98" s="82" t="s">
        <v>13</v>
      </c>
      <c r="E98" s="94">
        <v>44700</v>
      </c>
      <c r="F98" s="126" t="s">
        <v>53</v>
      </c>
      <c r="G98" s="46"/>
    </row>
    <row r="99" spans="1:7" s="47" customFormat="1" ht="30" customHeight="1" thickBot="1" x14ac:dyDescent="0.3">
      <c r="A99" s="80" t="s">
        <v>4</v>
      </c>
      <c r="B99" s="151" t="s">
        <v>38</v>
      </c>
      <c r="C99" s="152"/>
      <c r="D99" s="80" t="s">
        <v>11</v>
      </c>
      <c r="E99" s="204" t="s">
        <v>12</v>
      </c>
      <c r="F99" s="205"/>
      <c r="G99" s="46"/>
    </row>
    <row r="100" spans="1:7" s="52" customFormat="1" x14ac:dyDescent="0.3">
      <c r="A100" s="53" t="s">
        <v>15</v>
      </c>
      <c r="B100" s="54">
        <v>4</v>
      </c>
      <c r="C100" s="154" t="str">
        <f t="shared" ref="C100:C101" si="13" xml:space="preserve"> IF(B100="","",setValueToTime(B100))</f>
        <v>0h20min</v>
      </c>
      <c r="D100" s="167" t="s">
        <v>66</v>
      </c>
      <c r="E100" s="206"/>
      <c r="F100" s="207"/>
      <c r="G100" s="51"/>
    </row>
    <row r="101" spans="1:7" s="52" customFormat="1" x14ac:dyDescent="0.3">
      <c r="A101" s="53" t="s">
        <v>47</v>
      </c>
      <c r="B101" s="54">
        <v>1</v>
      </c>
      <c r="C101" s="154" t="str">
        <f t="shared" si="13"/>
        <v>0h5min</v>
      </c>
      <c r="D101" s="167" t="s">
        <v>81</v>
      </c>
      <c r="E101" s="208"/>
      <c r="F101" s="209"/>
      <c r="G101" s="51"/>
    </row>
    <row r="102" spans="1:7" s="52" customFormat="1" x14ac:dyDescent="0.3">
      <c r="A102" s="53" t="s">
        <v>60</v>
      </c>
      <c r="B102" s="54">
        <v>36</v>
      </c>
      <c r="C102" s="154" t="str">
        <f t="shared" ref="C101:C107" si="14" xml:space="preserve"> IF(B102="","",setValueToTime(B102))</f>
        <v>3h</v>
      </c>
      <c r="D102" s="167" t="s">
        <v>96</v>
      </c>
      <c r="E102" s="208"/>
      <c r="F102" s="209"/>
      <c r="G102" s="51"/>
    </row>
    <row r="103" spans="1:7" s="52" customFormat="1" ht="27" x14ac:dyDescent="0.3">
      <c r="A103" s="53" t="s">
        <v>54</v>
      </c>
      <c r="B103" s="54">
        <v>4</v>
      </c>
      <c r="C103" s="154" t="str">
        <f t="shared" si="14"/>
        <v>0h20min</v>
      </c>
      <c r="D103" s="167" t="s">
        <v>80</v>
      </c>
      <c r="E103" s="208"/>
      <c r="F103" s="209"/>
      <c r="G103" s="51"/>
    </row>
    <row r="104" spans="1:7" s="52" customFormat="1" x14ac:dyDescent="0.3">
      <c r="A104" s="54"/>
      <c r="B104" s="54"/>
      <c r="C104" s="155" t="str">
        <f t="shared" si="14"/>
        <v/>
      </c>
      <c r="D104" s="55"/>
      <c r="E104" s="208"/>
      <c r="F104" s="209"/>
      <c r="G104" s="51"/>
    </row>
    <row r="105" spans="1:7" s="52" customFormat="1" x14ac:dyDescent="0.3">
      <c r="A105" s="54"/>
      <c r="B105" s="54"/>
      <c r="C105" s="155" t="str">
        <f t="shared" si="14"/>
        <v/>
      </c>
      <c r="D105" s="55"/>
      <c r="E105" s="208"/>
      <c r="F105" s="209"/>
      <c r="G105" s="51"/>
    </row>
    <row r="106" spans="1:7" s="52" customFormat="1" x14ac:dyDescent="0.3">
      <c r="A106" s="54"/>
      <c r="B106" s="54"/>
      <c r="C106" s="155" t="str">
        <f t="shared" si="14"/>
        <v/>
      </c>
      <c r="D106" s="55"/>
      <c r="E106" s="208"/>
      <c r="F106" s="209"/>
      <c r="G106" s="51"/>
    </row>
    <row r="107" spans="1:7" s="52" customFormat="1" ht="15" thickBot="1" x14ac:dyDescent="0.35">
      <c r="A107" s="56"/>
      <c r="B107" s="56"/>
      <c r="C107" s="156" t="str">
        <f t="shared" si="14"/>
        <v/>
      </c>
      <c r="D107" s="57"/>
      <c r="E107" s="210"/>
      <c r="F107" s="211"/>
      <c r="G107" s="51"/>
    </row>
    <row r="108" spans="1:7" s="52" customFormat="1" ht="15" thickBot="1" x14ac:dyDescent="0.35">
      <c r="A108" s="111" t="s">
        <v>27</v>
      </c>
      <c r="B108" s="84">
        <f>SUM(B100:B107)</f>
        <v>45</v>
      </c>
      <c r="C108" s="111" t="str">
        <f xml:space="preserve"> setValueToTime(B108)</f>
        <v>3h45min</v>
      </c>
      <c r="D108" s="120"/>
      <c r="E108" s="202"/>
      <c r="F108" s="203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10</v>
      </c>
      <c r="B110" s="164">
        <v>18</v>
      </c>
      <c r="C110" s="164"/>
      <c r="D110" s="82" t="s">
        <v>13</v>
      </c>
      <c r="E110" s="94">
        <v>44700</v>
      </c>
      <c r="F110" s="126" t="s">
        <v>52</v>
      </c>
      <c r="G110" s="46"/>
    </row>
    <row r="111" spans="1:7" s="47" customFormat="1" ht="30" customHeight="1" thickBot="1" x14ac:dyDescent="0.3">
      <c r="A111" s="80" t="s">
        <v>4</v>
      </c>
      <c r="B111" s="151" t="s">
        <v>38</v>
      </c>
      <c r="C111" s="152"/>
      <c r="D111" s="80" t="s">
        <v>11</v>
      </c>
      <c r="E111" s="204" t="s">
        <v>12</v>
      </c>
      <c r="F111" s="205"/>
      <c r="G111" s="46"/>
    </row>
    <row r="112" spans="1:7" s="52" customFormat="1" x14ac:dyDescent="0.3">
      <c r="A112" s="48" t="s">
        <v>77</v>
      </c>
      <c r="B112" s="49">
        <v>45</v>
      </c>
      <c r="C112" s="153" t="str">
        <f xml:space="preserve"> IF(B112="","",setValueToTime(B112))</f>
        <v>3h45min</v>
      </c>
      <c r="D112" s="166" t="s">
        <v>95</v>
      </c>
      <c r="E112" s="206"/>
      <c r="F112" s="207"/>
      <c r="G112" s="51"/>
    </row>
    <row r="113" spans="1:7" s="52" customFormat="1" x14ac:dyDescent="0.3">
      <c r="A113" s="53"/>
      <c r="B113" s="54"/>
      <c r="C113" s="154" t="str">
        <f t="shared" ref="C113" si="15" xml:space="preserve"> IF(B113="","",setValueToTime(B113))</f>
        <v/>
      </c>
      <c r="D113" s="167"/>
      <c r="E113" s="208"/>
      <c r="F113" s="209"/>
      <c r="G113" s="51"/>
    </row>
    <row r="114" spans="1:7" s="52" customFormat="1" x14ac:dyDescent="0.3">
      <c r="A114" s="53"/>
      <c r="B114" s="54"/>
      <c r="C114" s="154" t="str">
        <f t="shared" ref="C113:C119" si="16" xml:space="preserve"> IF(B114="","",setValueToTime(B114))</f>
        <v/>
      </c>
      <c r="D114" s="55"/>
      <c r="E114" s="208"/>
      <c r="F114" s="209"/>
      <c r="G114" s="51"/>
    </row>
    <row r="115" spans="1:7" s="52" customFormat="1" x14ac:dyDescent="0.3">
      <c r="A115" s="53"/>
      <c r="B115" s="54"/>
      <c r="C115" s="154" t="str">
        <f t="shared" si="16"/>
        <v/>
      </c>
      <c r="D115" s="55"/>
      <c r="E115" s="208"/>
      <c r="F115" s="209"/>
      <c r="G115" s="51"/>
    </row>
    <row r="116" spans="1:7" s="52" customFormat="1" x14ac:dyDescent="0.3">
      <c r="A116" s="54"/>
      <c r="B116" s="54"/>
      <c r="C116" s="155" t="str">
        <f t="shared" si="16"/>
        <v/>
      </c>
      <c r="D116" s="55"/>
      <c r="E116" s="208"/>
      <c r="F116" s="209"/>
      <c r="G116" s="51"/>
    </row>
    <row r="117" spans="1:7" s="52" customFormat="1" x14ac:dyDescent="0.3">
      <c r="A117" s="54"/>
      <c r="B117" s="54"/>
      <c r="C117" s="155" t="str">
        <f t="shared" si="16"/>
        <v/>
      </c>
      <c r="D117" s="55"/>
      <c r="E117" s="208"/>
      <c r="F117" s="209"/>
      <c r="G117" s="51"/>
    </row>
    <row r="118" spans="1:7" s="52" customFormat="1" x14ac:dyDescent="0.3">
      <c r="A118" s="54"/>
      <c r="B118" s="54"/>
      <c r="C118" s="155" t="str">
        <f t="shared" si="16"/>
        <v/>
      </c>
      <c r="D118" s="55"/>
      <c r="E118" s="208"/>
      <c r="F118" s="209"/>
      <c r="G118" s="51"/>
    </row>
    <row r="119" spans="1:7" s="52" customFormat="1" ht="15" thickBot="1" x14ac:dyDescent="0.35">
      <c r="A119" s="56"/>
      <c r="B119" s="56"/>
      <c r="C119" s="156" t="str">
        <f t="shared" si="16"/>
        <v/>
      </c>
      <c r="D119" s="57"/>
      <c r="E119" s="210"/>
      <c r="F119" s="211"/>
      <c r="G119" s="51"/>
    </row>
    <row r="120" spans="1:7" s="52" customFormat="1" ht="15" thickBot="1" x14ac:dyDescent="0.35">
      <c r="A120" s="111" t="s">
        <v>27</v>
      </c>
      <c r="B120" s="84">
        <f>SUM(B112:B119)</f>
        <v>45</v>
      </c>
      <c r="C120" s="111" t="str">
        <f xml:space="preserve"> setValueToTime(B120)</f>
        <v>3h45min</v>
      </c>
      <c r="D120" s="120"/>
      <c r="E120" s="202"/>
      <c r="F120" s="203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10</v>
      </c>
      <c r="B122" s="164">
        <v>17</v>
      </c>
      <c r="C122" s="164"/>
      <c r="D122" s="82" t="s">
        <v>13</v>
      </c>
      <c r="E122" s="94">
        <v>44699</v>
      </c>
      <c r="F122" s="126" t="s">
        <v>53</v>
      </c>
      <c r="G122" s="46"/>
    </row>
    <row r="123" spans="1:7" s="47" customFormat="1" ht="30" customHeight="1" thickBot="1" x14ac:dyDescent="0.3">
      <c r="A123" s="80" t="s">
        <v>4</v>
      </c>
      <c r="B123" s="151" t="s">
        <v>38</v>
      </c>
      <c r="C123" s="152"/>
      <c r="D123" s="80" t="s">
        <v>11</v>
      </c>
      <c r="E123" s="204" t="s">
        <v>12</v>
      </c>
      <c r="F123" s="205"/>
      <c r="G123" s="46"/>
    </row>
    <row r="124" spans="1:7" s="52" customFormat="1" x14ac:dyDescent="0.3">
      <c r="A124" s="53" t="s">
        <v>15</v>
      </c>
      <c r="B124" s="54">
        <v>4</v>
      </c>
      <c r="C124" s="154" t="str">
        <f t="shared" ref="C124:C129" si="17" xml:space="preserve"> IF(B124="","",setValueToTime(B124))</f>
        <v>0h20min</v>
      </c>
      <c r="D124" s="167" t="s">
        <v>66</v>
      </c>
      <c r="E124" s="206"/>
      <c r="F124" s="207"/>
      <c r="G124" s="51"/>
    </row>
    <row r="125" spans="1:7" s="52" customFormat="1" x14ac:dyDescent="0.3">
      <c r="A125" s="53" t="s">
        <v>47</v>
      </c>
      <c r="B125" s="54">
        <v>1</v>
      </c>
      <c r="C125" s="154" t="str">
        <f t="shared" si="17"/>
        <v>0h5min</v>
      </c>
      <c r="D125" s="167" t="s">
        <v>81</v>
      </c>
      <c r="E125" s="208"/>
      <c r="F125" s="209"/>
      <c r="G125" s="51"/>
    </row>
    <row r="126" spans="1:7" s="52" customFormat="1" x14ac:dyDescent="0.3">
      <c r="A126" s="53" t="s">
        <v>59</v>
      </c>
      <c r="B126" s="54">
        <v>12</v>
      </c>
      <c r="C126" s="154" t="str">
        <f t="shared" si="17"/>
        <v>1h</v>
      </c>
      <c r="D126" s="167" t="s">
        <v>92</v>
      </c>
      <c r="E126" s="208"/>
      <c r="F126" s="209"/>
      <c r="G126" s="51"/>
    </row>
    <row r="127" spans="1:7" s="52" customFormat="1" x14ac:dyDescent="0.3">
      <c r="A127" s="53" t="s">
        <v>46</v>
      </c>
      <c r="B127" s="54">
        <v>10</v>
      </c>
      <c r="C127" s="154" t="str">
        <f t="shared" si="17"/>
        <v>0h50min</v>
      </c>
      <c r="D127" s="167" t="s">
        <v>93</v>
      </c>
      <c r="E127" s="208"/>
      <c r="F127" s="209"/>
      <c r="G127" s="51"/>
    </row>
    <row r="128" spans="1:7" s="52" customFormat="1" x14ac:dyDescent="0.3">
      <c r="A128" s="54" t="s">
        <v>14</v>
      </c>
      <c r="B128" s="54">
        <v>5</v>
      </c>
      <c r="C128" s="155" t="str">
        <f t="shared" si="17"/>
        <v>0h25min</v>
      </c>
      <c r="D128" s="167" t="s">
        <v>91</v>
      </c>
      <c r="E128" s="208"/>
      <c r="F128" s="209"/>
      <c r="G128" s="51"/>
    </row>
    <row r="129" spans="1:7" s="52" customFormat="1" ht="27" x14ac:dyDescent="0.3">
      <c r="A129" s="54" t="s">
        <v>54</v>
      </c>
      <c r="B129" s="54">
        <v>4</v>
      </c>
      <c r="C129" s="155" t="str">
        <f t="shared" si="17"/>
        <v>0h20min</v>
      </c>
      <c r="D129" s="167" t="s">
        <v>80</v>
      </c>
      <c r="E129" s="208"/>
      <c r="F129" s="209"/>
      <c r="G129" s="51"/>
    </row>
    <row r="130" spans="1:7" s="52" customFormat="1" x14ac:dyDescent="0.3">
      <c r="A130" s="54"/>
      <c r="B130" s="54"/>
      <c r="C130" s="155" t="str">
        <f t="shared" ref="C125:C131" si="18" xml:space="preserve"> IF(B130="","",setValueToTime(B130))</f>
        <v/>
      </c>
      <c r="D130" s="55"/>
      <c r="E130" s="208"/>
      <c r="F130" s="209"/>
      <c r="G130" s="51"/>
    </row>
    <row r="131" spans="1:7" s="52" customFormat="1" ht="15" thickBot="1" x14ac:dyDescent="0.35">
      <c r="A131" s="56"/>
      <c r="B131" s="56"/>
      <c r="C131" s="156" t="str">
        <f t="shared" si="18"/>
        <v/>
      </c>
      <c r="D131" s="57"/>
      <c r="E131" s="210"/>
      <c r="F131" s="211"/>
      <c r="G131" s="51"/>
    </row>
    <row r="132" spans="1:7" s="52" customFormat="1" ht="15" thickBot="1" x14ac:dyDescent="0.35">
      <c r="A132" s="111" t="s">
        <v>27</v>
      </c>
      <c r="B132" s="84">
        <f>SUM(B124:B131)</f>
        <v>36</v>
      </c>
      <c r="C132" s="111" t="str">
        <f xml:space="preserve"> setValueToTime(B132)</f>
        <v>3h</v>
      </c>
      <c r="D132" s="120"/>
      <c r="E132" s="202"/>
      <c r="F132" s="203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10</v>
      </c>
      <c r="B134" s="164">
        <v>16</v>
      </c>
      <c r="C134" s="164"/>
      <c r="D134" s="82" t="s">
        <v>13</v>
      </c>
      <c r="E134" s="94">
        <v>44699</v>
      </c>
      <c r="F134" s="126" t="s">
        <v>52</v>
      </c>
      <c r="G134" s="46"/>
    </row>
    <row r="135" spans="1:7" s="47" customFormat="1" ht="30" customHeight="1" thickBot="1" x14ac:dyDescent="0.3">
      <c r="A135" s="80" t="s">
        <v>4</v>
      </c>
      <c r="B135" s="151" t="s">
        <v>38</v>
      </c>
      <c r="C135" s="152"/>
      <c r="D135" s="80" t="s">
        <v>11</v>
      </c>
      <c r="E135" s="204" t="s">
        <v>12</v>
      </c>
      <c r="F135" s="205"/>
      <c r="G135" s="46"/>
    </row>
    <row r="136" spans="1:7" s="52" customFormat="1" x14ac:dyDescent="0.3">
      <c r="A136" s="48" t="s">
        <v>59</v>
      </c>
      <c r="B136" s="49">
        <v>35</v>
      </c>
      <c r="C136" s="153" t="str">
        <f xml:space="preserve"> IF(B136="","",setValueToTime(B136))</f>
        <v>2h55min</v>
      </c>
      <c r="D136" s="166" t="s">
        <v>89</v>
      </c>
      <c r="E136" s="206"/>
      <c r="F136" s="207"/>
      <c r="G136" s="51"/>
    </row>
    <row r="137" spans="1:7" s="52" customFormat="1" x14ac:dyDescent="0.3">
      <c r="A137" s="53" t="s">
        <v>46</v>
      </c>
      <c r="B137" s="54">
        <v>10</v>
      </c>
      <c r="C137" s="154" t="str">
        <f t="shared" ref="C137" si="19" xml:space="preserve"> IF(B137="","",setValueToTime(B137))</f>
        <v>0h50min</v>
      </c>
      <c r="D137" s="167" t="s">
        <v>90</v>
      </c>
      <c r="E137" s="208"/>
      <c r="F137" s="209"/>
      <c r="G137" s="51"/>
    </row>
    <row r="138" spans="1:7" s="52" customFormat="1" x14ac:dyDescent="0.3">
      <c r="A138" s="53"/>
      <c r="B138" s="54"/>
      <c r="C138" s="154" t="str">
        <f t="shared" ref="C137:C143" si="20" xml:space="preserve"> IF(B138="","",setValueToTime(B138))</f>
        <v/>
      </c>
      <c r="D138" s="55"/>
      <c r="E138" s="208"/>
      <c r="F138" s="209"/>
      <c r="G138" s="51"/>
    </row>
    <row r="139" spans="1:7" s="52" customFormat="1" x14ac:dyDescent="0.3">
      <c r="A139" s="53"/>
      <c r="B139" s="54"/>
      <c r="C139" s="154" t="str">
        <f t="shared" si="20"/>
        <v/>
      </c>
      <c r="D139" s="55"/>
      <c r="E139" s="208"/>
      <c r="F139" s="209"/>
      <c r="G139" s="51"/>
    </row>
    <row r="140" spans="1:7" s="52" customFormat="1" x14ac:dyDescent="0.3">
      <c r="A140" s="54"/>
      <c r="B140" s="54"/>
      <c r="C140" s="155" t="str">
        <f t="shared" si="20"/>
        <v/>
      </c>
      <c r="D140" s="55"/>
      <c r="E140" s="208"/>
      <c r="F140" s="209"/>
      <c r="G140" s="51"/>
    </row>
    <row r="141" spans="1:7" s="52" customFormat="1" x14ac:dyDescent="0.3">
      <c r="A141" s="54"/>
      <c r="B141" s="54"/>
      <c r="C141" s="155" t="str">
        <f t="shared" si="20"/>
        <v/>
      </c>
      <c r="D141" s="55"/>
      <c r="E141" s="208"/>
      <c r="F141" s="209"/>
      <c r="G141" s="51"/>
    </row>
    <row r="142" spans="1:7" s="52" customFormat="1" x14ac:dyDescent="0.3">
      <c r="A142" s="54"/>
      <c r="B142" s="54"/>
      <c r="C142" s="155" t="str">
        <f t="shared" si="20"/>
        <v/>
      </c>
      <c r="D142" s="55"/>
      <c r="E142" s="208"/>
      <c r="F142" s="209"/>
      <c r="G142" s="51"/>
    </row>
    <row r="143" spans="1:7" s="52" customFormat="1" ht="15" thickBot="1" x14ac:dyDescent="0.35">
      <c r="A143" s="56"/>
      <c r="B143" s="56"/>
      <c r="C143" s="156" t="str">
        <f t="shared" si="20"/>
        <v/>
      </c>
      <c r="D143" s="57"/>
      <c r="E143" s="210"/>
      <c r="F143" s="211"/>
      <c r="G143" s="51"/>
    </row>
    <row r="144" spans="1:7" s="52" customFormat="1" ht="15" thickBot="1" x14ac:dyDescent="0.35">
      <c r="A144" s="111" t="s">
        <v>27</v>
      </c>
      <c r="B144" s="84">
        <f>SUM(B136:B143)</f>
        <v>45</v>
      </c>
      <c r="C144" s="111" t="str">
        <f xml:space="preserve"> setValueToTime(B144)</f>
        <v>3h45min</v>
      </c>
      <c r="D144" s="120"/>
      <c r="E144" s="202"/>
      <c r="F144" s="203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10</v>
      </c>
      <c r="B146" s="164">
        <v>15</v>
      </c>
      <c r="C146" s="164"/>
      <c r="D146" s="82" t="s">
        <v>13</v>
      </c>
      <c r="E146" s="94">
        <v>44697</v>
      </c>
      <c r="F146" s="126" t="s">
        <v>52</v>
      </c>
      <c r="G146" s="46"/>
    </row>
    <row r="147" spans="1:7" s="47" customFormat="1" ht="30" customHeight="1" thickBot="1" x14ac:dyDescent="0.3">
      <c r="A147" s="80" t="s">
        <v>4</v>
      </c>
      <c r="B147" s="151" t="s">
        <v>38</v>
      </c>
      <c r="C147" s="152"/>
      <c r="D147" s="80" t="s">
        <v>11</v>
      </c>
      <c r="E147" s="204" t="s">
        <v>12</v>
      </c>
      <c r="F147" s="205"/>
      <c r="G147" s="46"/>
    </row>
    <row r="148" spans="1:7" s="52" customFormat="1" x14ac:dyDescent="0.3">
      <c r="A148" s="53" t="s">
        <v>15</v>
      </c>
      <c r="B148" s="54">
        <v>2</v>
      </c>
      <c r="C148" s="154" t="str">
        <f t="shared" ref="C148:C149" si="21" xml:space="preserve"> IF(B148="","",setValueToTime(B148))</f>
        <v>0h10min</v>
      </c>
      <c r="D148" s="167" t="s">
        <v>66</v>
      </c>
      <c r="E148" s="206"/>
      <c r="F148" s="207"/>
      <c r="G148" s="51"/>
    </row>
    <row r="149" spans="1:7" s="52" customFormat="1" x14ac:dyDescent="0.3">
      <c r="A149" s="53" t="s">
        <v>47</v>
      </c>
      <c r="B149" s="54">
        <v>1</v>
      </c>
      <c r="C149" s="154" t="str">
        <f t="shared" si="21"/>
        <v>0h5min</v>
      </c>
      <c r="D149" s="167" t="s">
        <v>81</v>
      </c>
      <c r="E149" s="208"/>
      <c r="F149" s="209"/>
      <c r="G149" s="51"/>
    </row>
    <row r="150" spans="1:7" s="52" customFormat="1" x14ac:dyDescent="0.3">
      <c r="A150" s="53" t="s">
        <v>59</v>
      </c>
      <c r="B150" s="54">
        <v>23</v>
      </c>
      <c r="C150" s="154" t="str">
        <f t="shared" ref="C149:C155" si="22" xml:space="preserve"> IF(B150="","",setValueToTime(B150))</f>
        <v>1h55min</v>
      </c>
      <c r="D150" s="167" t="s">
        <v>89</v>
      </c>
      <c r="E150" s="208"/>
      <c r="F150" s="209"/>
      <c r="G150" s="51"/>
    </row>
    <row r="151" spans="1:7" s="52" customFormat="1" x14ac:dyDescent="0.3">
      <c r="A151" s="53" t="s">
        <v>46</v>
      </c>
      <c r="B151" s="54">
        <v>10</v>
      </c>
      <c r="C151" s="154" t="str">
        <f t="shared" si="22"/>
        <v>0h50min</v>
      </c>
      <c r="D151" s="167" t="s">
        <v>90</v>
      </c>
      <c r="E151" s="208"/>
      <c r="F151" s="209"/>
      <c r="G151" s="51"/>
    </row>
    <row r="152" spans="1:7" s="52" customFormat="1" x14ac:dyDescent="0.3">
      <c r="A152" s="54"/>
      <c r="B152" s="54"/>
      <c r="C152" s="155" t="str">
        <f t="shared" si="22"/>
        <v/>
      </c>
      <c r="D152" s="55"/>
      <c r="E152" s="208"/>
      <c r="F152" s="209"/>
      <c r="G152" s="51"/>
    </row>
    <row r="153" spans="1:7" s="52" customFormat="1" x14ac:dyDescent="0.3">
      <c r="A153" s="54"/>
      <c r="B153" s="54"/>
      <c r="C153" s="155" t="str">
        <f t="shared" si="22"/>
        <v/>
      </c>
      <c r="D153" s="55"/>
      <c r="E153" s="208"/>
      <c r="F153" s="209"/>
      <c r="G153" s="51"/>
    </row>
    <row r="154" spans="1:7" s="52" customFormat="1" x14ac:dyDescent="0.3">
      <c r="A154" s="54"/>
      <c r="B154" s="54"/>
      <c r="C154" s="155" t="str">
        <f t="shared" si="22"/>
        <v/>
      </c>
      <c r="D154" s="55"/>
      <c r="E154" s="208"/>
      <c r="F154" s="209"/>
      <c r="G154" s="51"/>
    </row>
    <row r="155" spans="1:7" s="52" customFormat="1" ht="15" thickBot="1" x14ac:dyDescent="0.35">
      <c r="A155" s="56"/>
      <c r="B155" s="56"/>
      <c r="C155" s="156" t="str">
        <f t="shared" si="22"/>
        <v/>
      </c>
      <c r="D155" s="57"/>
      <c r="E155" s="210"/>
      <c r="F155" s="211"/>
      <c r="G155" s="51"/>
    </row>
    <row r="156" spans="1:7" s="52" customFormat="1" ht="15" thickBot="1" x14ac:dyDescent="0.35">
      <c r="A156" s="111" t="s">
        <v>27</v>
      </c>
      <c r="B156" s="84">
        <f>SUM(B148:B155)</f>
        <v>36</v>
      </c>
      <c r="C156" s="111" t="str">
        <f xml:space="preserve"> setValueToTime(B156)</f>
        <v>3h</v>
      </c>
      <c r="D156" s="120"/>
      <c r="E156" s="202"/>
      <c r="F156" s="203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10</v>
      </c>
      <c r="B158" s="164">
        <v>14</v>
      </c>
      <c r="C158" s="164"/>
      <c r="D158" s="82" t="s">
        <v>13</v>
      </c>
      <c r="E158" s="94">
        <v>44694</v>
      </c>
      <c r="F158" s="126" t="s">
        <v>53</v>
      </c>
      <c r="G158" s="46"/>
    </row>
    <row r="159" spans="1:7" s="47" customFormat="1" ht="30" customHeight="1" thickBot="1" x14ac:dyDescent="0.3">
      <c r="A159" s="80" t="s">
        <v>4</v>
      </c>
      <c r="B159" s="151" t="s">
        <v>38</v>
      </c>
      <c r="C159" s="152"/>
      <c r="D159" s="80" t="s">
        <v>11</v>
      </c>
      <c r="E159" s="204" t="s">
        <v>12</v>
      </c>
      <c r="F159" s="205"/>
      <c r="G159" s="46"/>
    </row>
    <row r="160" spans="1:7" s="52" customFormat="1" x14ac:dyDescent="0.3">
      <c r="A160" s="53" t="s">
        <v>15</v>
      </c>
      <c r="B160" s="54">
        <v>4</v>
      </c>
      <c r="C160" s="154" t="str">
        <f t="shared" ref="C160:C165" si="23" xml:space="preserve"> IF(B160="","",setValueToTime(B160))</f>
        <v>0h20min</v>
      </c>
      <c r="D160" s="167" t="s">
        <v>66</v>
      </c>
      <c r="E160" s="206"/>
      <c r="F160" s="207"/>
      <c r="G160" s="51"/>
    </row>
    <row r="161" spans="1:7" s="52" customFormat="1" x14ac:dyDescent="0.3">
      <c r="A161" s="53" t="s">
        <v>47</v>
      </c>
      <c r="B161" s="54">
        <v>1</v>
      </c>
      <c r="C161" s="154" t="str">
        <f t="shared" si="23"/>
        <v>0h5min</v>
      </c>
      <c r="D161" s="167" t="s">
        <v>81</v>
      </c>
      <c r="E161" s="208"/>
      <c r="F161" s="209"/>
      <c r="G161" s="51"/>
    </row>
    <row r="162" spans="1:7" s="52" customFormat="1" x14ac:dyDescent="0.3">
      <c r="A162" s="53" t="s">
        <v>59</v>
      </c>
      <c r="B162" s="54">
        <v>12</v>
      </c>
      <c r="C162" s="154" t="str">
        <f t="shared" si="23"/>
        <v>1h</v>
      </c>
      <c r="D162" s="167" t="s">
        <v>89</v>
      </c>
      <c r="E162" s="208"/>
      <c r="F162" s="209"/>
      <c r="G162" s="51"/>
    </row>
    <row r="163" spans="1:7" s="52" customFormat="1" x14ac:dyDescent="0.3">
      <c r="A163" s="53" t="s">
        <v>46</v>
      </c>
      <c r="B163" s="54">
        <v>10</v>
      </c>
      <c r="C163" s="154" t="str">
        <f t="shared" si="23"/>
        <v>0h50min</v>
      </c>
      <c r="D163" s="167" t="s">
        <v>90</v>
      </c>
      <c r="E163" s="208"/>
      <c r="F163" s="209"/>
      <c r="G163" s="51"/>
    </row>
    <row r="164" spans="1:7" s="52" customFormat="1" x14ac:dyDescent="0.3">
      <c r="A164" s="54" t="s">
        <v>14</v>
      </c>
      <c r="B164" s="54">
        <v>5</v>
      </c>
      <c r="C164" s="155" t="str">
        <f t="shared" si="23"/>
        <v>0h25min</v>
      </c>
      <c r="D164" s="167" t="s">
        <v>91</v>
      </c>
      <c r="E164" s="208"/>
      <c r="F164" s="209"/>
      <c r="G164" s="51"/>
    </row>
    <row r="165" spans="1:7" s="52" customFormat="1" ht="27" x14ac:dyDescent="0.3">
      <c r="A165" s="54" t="s">
        <v>54</v>
      </c>
      <c r="B165" s="54">
        <v>4</v>
      </c>
      <c r="C165" s="155" t="str">
        <f t="shared" si="23"/>
        <v>0h20min</v>
      </c>
      <c r="D165" s="167" t="s">
        <v>80</v>
      </c>
      <c r="E165" s="208"/>
      <c r="F165" s="209"/>
      <c r="G165" s="51"/>
    </row>
    <row r="166" spans="1:7" s="52" customFormat="1" x14ac:dyDescent="0.3">
      <c r="A166" s="54"/>
      <c r="B166" s="54"/>
      <c r="C166" s="155" t="str">
        <f t="shared" ref="C161:C167" si="24" xml:space="preserve"> IF(B166="","",setValueToTime(B166))</f>
        <v/>
      </c>
      <c r="D166" s="55"/>
      <c r="E166" s="208"/>
      <c r="F166" s="209"/>
      <c r="G166" s="51"/>
    </row>
    <row r="167" spans="1:7" s="52" customFormat="1" ht="15" thickBot="1" x14ac:dyDescent="0.35">
      <c r="A167" s="56"/>
      <c r="B167" s="56"/>
      <c r="C167" s="156" t="str">
        <f t="shared" si="24"/>
        <v/>
      </c>
      <c r="D167" s="57"/>
      <c r="E167" s="210"/>
      <c r="F167" s="211"/>
      <c r="G167" s="51"/>
    </row>
    <row r="168" spans="1:7" s="52" customFormat="1" ht="15" thickBot="1" x14ac:dyDescent="0.35">
      <c r="A168" s="111" t="s">
        <v>27</v>
      </c>
      <c r="B168" s="84">
        <f>SUM(B160:B167)</f>
        <v>36</v>
      </c>
      <c r="C168" s="111" t="str">
        <f xml:space="preserve"> setValueToTime(B168)</f>
        <v>3h</v>
      </c>
      <c r="D168" s="120"/>
      <c r="E168" s="202"/>
      <c r="F168" s="203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10</v>
      </c>
      <c r="B170" s="164">
        <v>13</v>
      </c>
      <c r="C170" s="164"/>
      <c r="D170" s="82" t="s">
        <v>13</v>
      </c>
      <c r="E170" s="94">
        <v>44694</v>
      </c>
      <c r="F170" s="126" t="s">
        <v>52</v>
      </c>
      <c r="G170" s="46"/>
    </row>
    <row r="171" spans="1:7" s="47" customFormat="1" ht="30" customHeight="1" thickBot="1" x14ac:dyDescent="0.3">
      <c r="A171" s="80" t="s">
        <v>4</v>
      </c>
      <c r="B171" s="151" t="s">
        <v>38</v>
      </c>
      <c r="C171" s="152"/>
      <c r="D171" s="80" t="s">
        <v>11</v>
      </c>
      <c r="E171" s="204" t="s">
        <v>12</v>
      </c>
      <c r="F171" s="205"/>
      <c r="G171" s="46"/>
    </row>
    <row r="172" spans="1:7" s="52" customFormat="1" x14ac:dyDescent="0.3">
      <c r="A172" s="48" t="s">
        <v>59</v>
      </c>
      <c r="B172" s="49">
        <v>26</v>
      </c>
      <c r="C172" s="153" t="str">
        <f xml:space="preserve"> IF(B172="","",setValueToTime(B172))</f>
        <v>2h10min</v>
      </c>
      <c r="D172" s="166" t="s">
        <v>89</v>
      </c>
      <c r="E172" s="206"/>
      <c r="F172" s="207"/>
      <c r="G172" s="51"/>
    </row>
    <row r="173" spans="1:7" s="52" customFormat="1" x14ac:dyDescent="0.3">
      <c r="A173" s="53" t="s">
        <v>46</v>
      </c>
      <c r="B173" s="54">
        <v>10</v>
      </c>
      <c r="C173" s="154" t="str">
        <f t="shared" ref="C173:C179" si="25" xml:space="preserve"> IF(B173="","",setValueToTime(B173))</f>
        <v>0h50min</v>
      </c>
      <c r="D173" s="167" t="s">
        <v>90</v>
      </c>
      <c r="E173" s="208"/>
      <c r="F173" s="209"/>
      <c r="G173" s="51"/>
    </row>
    <row r="174" spans="1:7" s="52" customFormat="1" x14ac:dyDescent="0.3">
      <c r="A174" s="53"/>
      <c r="B174" s="54"/>
      <c r="C174" s="154" t="str">
        <f t="shared" si="25"/>
        <v/>
      </c>
      <c r="D174" s="55"/>
      <c r="E174" s="208"/>
      <c r="F174" s="209"/>
      <c r="G174" s="51"/>
    </row>
    <row r="175" spans="1:7" s="52" customFormat="1" x14ac:dyDescent="0.3">
      <c r="A175" s="53"/>
      <c r="B175" s="54"/>
      <c r="C175" s="154" t="str">
        <f t="shared" si="25"/>
        <v/>
      </c>
      <c r="D175" s="55"/>
      <c r="E175" s="208"/>
      <c r="F175" s="209"/>
      <c r="G175" s="51"/>
    </row>
    <row r="176" spans="1:7" s="52" customFormat="1" x14ac:dyDescent="0.3">
      <c r="A176" s="54"/>
      <c r="B176" s="54"/>
      <c r="C176" s="155" t="str">
        <f t="shared" si="25"/>
        <v/>
      </c>
      <c r="D176" s="55"/>
      <c r="E176" s="208"/>
      <c r="F176" s="209"/>
      <c r="G176" s="51"/>
    </row>
    <row r="177" spans="1:7" s="52" customFormat="1" x14ac:dyDescent="0.3">
      <c r="A177" s="54"/>
      <c r="B177" s="54"/>
      <c r="C177" s="155" t="str">
        <f t="shared" si="25"/>
        <v/>
      </c>
      <c r="D177" s="55"/>
      <c r="E177" s="208"/>
      <c r="F177" s="209"/>
      <c r="G177" s="51"/>
    </row>
    <row r="178" spans="1:7" s="52" customFormat="1" x14ac:dyDescent="0.3">
      <c r="A178" s="54"/>
      <c r="B178" s="54"/>
      <c r="C178" s="155" t="str">
        <f t="shared" si="25"/>
        <v/>
      </c>
      <c r="D178" s="55"/>
      <c r="E178" s="208"/>
      <c r="F178" s="209"/>
      <c r="G178" s="51"/>
    </row>
    <row r="179" spans="1:7" s="52" customFormat="1" ht="15" thickBot="1" x14ac:dyDescent="0.35">
      <c r="A179" s="56"/>
      <c r="B179" s="56"/>
      <c r="C179" s="156" t="str">
        <f t="shared" si="25"/>
        <v/>
      </c>
      <c r="D179" s="57"/>
      <c r="E179" s="210"/>
      <c r="F179" s="211"/>
      <c r="G179" s="51"/>
    </row>
    <row r="180" spans="1:7" s="52" customFormat="1" ht="15" thickBot="1" x14ac:dyDescent="0.35">
      <c r="A180" s="111" t="s">
        <v>27</v>
      </c>
      <c r="B180" s="84">
        <f>SUM(B172:B179)</f>
        <v>36</v>
      </c>
      <c r="C180" s="111" t="str">
        <f xml:space="preserve"> setValueToTime(B180)</f>
        <v>3h</v>
      </c>
      <c r="D180" s="120"/>
      <c r="E180" s="202"/>
      <c r="F180" s="203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10</v>
      </c>
      <c r="B182" s="164">
        <v>12</v>
      </c>
      <c r="C182" s="164"/>
      <c r="D182" s="82" t="s">
        <v>13</v>
      </c>
      <c r="E182" s="94">
        <v>44693</v>
      </c>
      <c r="F182" s="126" t="s">
        <v>53</v>
      </c>
      <c r="G182" s="46"/>
    </row>
    <row r="183" spans="1:7" s="47" customFormat="1" ht="30" customHeight="1" thickBot="1" x14ac:dyDescent="0.3">
      <c r="A183" s="80" t="s">
        <v>4</v>
      </c>
      <c r="B183" s="151" t="s">
        <v>38</v>
      </c>
      <c r="C183" s="152"/>
      <c r="D183" s="80" t="s">
        <v>11</v>
      </c>
      <c r="E183" s="204" t="s">
        <v>12</v>
      </c>
      <c r="F183" s="205"/>
      <c r="G183" s="46"/>
    </row>
    <row r="184" spans="1:7" s="52" customFormat="1" x14ac:dyDescent="0.3">
      <c r="A184" s="53" t="s">
        <v>15</v>
      </c>
      <c r="B184" s="54">
        <v>4</v>
      </c>
      <c r="C184" s="154" t="str">
        <f t="shared" ref="C184:C188" si="26" xml:space="preserve"> IF(B184="","",setValueToTime(B184))</f>
        <v>0h20min</v>
      </c>
      <c r="D184" s="167" t="s">
        <v>66</v>
      </c>
      <c r="E184" s="206"/>
      <c r="F184" s="207"/>
      <c r="G184" s="51"/>
    </row>
    <row r="185" spans="1:7" s="52" customFormat="1" x14ac:dyDescent="0.3">
      <c r="A185" s="53" t="s">
        <v>47</v>
      </c>
      <c r="B185" s="54">
        <v>1</v>
      </c>
      <c r="C185" s="154" t="str">
        <f t="shared" si="26"/>
        <v>0h5min</v>
      </c>
      <c r="D185" s="167" t="s">
        <v>81</v>
      </c>
      <c r="E185" s="208"/>
      <c r="F185" s="209"/>
      <c r="G185" s="51"/>
    </row>
    <row r="186" spans="1:7" s="52" customFormat="1" x14ac:dyDescent="0.3">
      <c r="A186" s="53" t="s">
        <v>58</v>
      </c>
      <c r="B186" s="54">
        <v>10</v>
      </c>
      <c r="C186" s="154" t="str">
        <f t="shared" si="26"/>
        <v>0h50min</v>
      </c>
      <c r="D186" s="167" t="s">
        <v>87</v>
      </c>
      <c r="E186" s="208"/>
      <c r="F186" s="209"/>
      <c r="G186" s="51"/>
    </row>
    <row r="187" spans="1:7" s="52" customFormat="1" x14ac:dyDescent="0.3">
      <c r="A187" s="53" t="s">
        <v>46</v>
      </c>
      <c r="B187" s="54">
        <v>17</v>
      </c>
      <c r="C187" s="154" t="str">
        <f t="shared" si="26"/>
        <v>1h25min</v>
      </c>
      <c r="D187" s="167" t="s">
        <v>88</v>
      </c>
      <c r="E187" s="208"/>
      <c r="F187" s="209"/>
      <c r="G187" s="51"/>
    </row>
    <row r="188" spans="1:7" s="52" customFormat="1" x14ac:dyDescent="0.3">
      <c r="A188" s="54" t="s">
        <v>14</v>
      </c>
      <c r="B188" s="54">
        <v>5</v>
      </c>
      <c r="C188" s="155" t="str">
        <f t="shared" si="26"/>
        <v>0h25min</v>
      </c>
      <c r="D188" s="55" t="s">
        <v>83</v>
      </c>
      <c r="E188" s="208"/>
      <c r="F188" s="209"/>
      <c r="G188" s="51"/>
    </row>
    <row r="189" spans="1:7" s="52" customFormat="1" x14ac:dyDescent="0.3">
      <c r="A189" s="54"/>
      <c r="B189" s="54"/>
      <c r="C189" s="155" t="str">
        <f t="shared" ref="C185:C191" si="27" xml:space="preserve"> IF(B189="","",setValueToTime(B189))</f>
        <v/>
      </c>
      <c r="D189" s="55"/>
      <c r="E189" s="208"/>
      <c r="F189" s="209"/>
      <c r="G189" s="51"/>
    </row>
    <row r="190" spans="1:7" s="52" customFormat="1" x14ac:dyDescent="0.3">
      <c r="A190" s="54"/>
      <c r="B190" s="54"/>
      <c r="C190" s="155" t="str">
        <f t="shared" si="27"/>
        <v/>
      </c>
      <c r="D190" s="55"/>
      <c r="E190" s="208"/>
      <c r="F190" s="209"/>
      <c r="G190" s="51"/>
    </row>
    <row r="191" spans="1:7" s="52" customFormat="1" ht="15" thickBot="1" x14ac:dyDescent="0.35">
      <c r="A191" s="56"/>
      <c r="B191" s="56"/>
      <c r="C191" s="156" t="str">
        <f t="shared" si="27"/>
        <v/>
      </c>
      <c r="D191" s="57"/>
      <c r="E191" s="210"/>
      <c r="F191" s="211"/>
      <c r="G191" s="51"/>
    </row>
    <row r="192" spans="1:7" s="52" customFormat="1" ht="15" thickBot="1" x14ac:dyDescent="0.35">
      <c r="A192" s="111" t="s">
        <v>27</v>
      </c>
      <c r="B192" s="84">
        <f>SUM(B184:B191)</f>
        <v>37</v>
      </c>
      <c r="C192" s="111" t="str">
        <f xml:space="preserve"> setValueToTime(B192)</f>
        <v>3h5min</v>
      </c>
      <c r="D192" s="120"/>
      <c r="E192" s="202"/>
      <c r="F192" s="203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10</v>
      </c>
      <c r="B194" s="164">
        <v>11</v>
      </c>
      <c r="C194" s="164"/>
      <c r="D194" s="82" t="s">
        <v>13</v>
      </c>
      <c r="E194" s="94">
        <v>44693</v>
      </c>
      <c r="F194" s="126" t="s">
        <v>52</v>
      </c>
      <c r="G194" s="46"/>
    </row>
    <row r="195" spans="1:7" s="47" customFormat="1" ht="30" customHeight="1" thickBot="1" x14ac:dyDescent="0.3">
      <c r="A195" s="80" t="s">
        <v>4</v>
      </c>
      <c r="B195" s="151" t="s">
        <v>38</v>
      </c>
      <c r="C195" s="152"/>
      <c r="D195" s="80" t="s">
        <v>11</v>
      </c>
      <c r="E195" s="204" t="s">
        <v>12</v>
      </c>
      <c r="F195" s="205"/>
      <c r="G195" s="46"/>
    </row>
    <row r="196" spans="1:7" s="52" customFormat="1" x14ac:dyDescent="0.3">
      <c r="A196" s="48" t="s">
        <v>58</v>
      </c>
      <c r="B196" s="49">
        <v>35</v>
      </c>
      <c r="C196" s="153" t="str">
        <f xml:space="preserve"> IF(B196="","",setValueToTime(B196))</f>
        <v>2h55min</v>
      </c>
      <c r="D196" s="166" t="s">
        <v>85</v>
      </c>
      <c r="E196" s="206"/>
      <c r="F196" s="207"/>
      <c r="G196" s="51"/>
    </row>
    <row r="197" spans="1:7" s="52" customFormat="1" x14ac:dyDescent="0.3">
      <c r="A197" s="53" t="s">
        <v>46</v>
      </c>
      <c r="B197" s="54">
        <v>10</v>
      </c>
      <c r="C197" s="154" t="str">
        <f t="shared" ref="C197:C203" si="28" xml:space="preserve"> IF(B197="","",setValueToTime(B197))</f>
        <v>0h50min</v>
      </c>
      <c r="D197" s="167" t="s">
        <v>86</v>
      </c>
      <c r="E197" s="208"/>
      <c r="F197" s="209"/>
      <c r="G197" s="51"/>
    </row>
    <row r="198" spans="1:7" s="52" customFormat="1" x14ac:dyDescent="0.3">
      <c r="A198" s="53"/>
      <c r="B198" s="54"/>
      <c r="C198" s="154" t="str">
        <f t="shared" si="28"/>
        <v/>
      </c>
      <c r="D198" s="55"/>
      <c r="E198" s="208"/>
      <c r="F198" s="209"/>
      <c r="G198" s="51"/>
    </row>
    <row r="199" spans="1:7" s="52" customFormat="1" x14ac:dyDescent="0.3">
      <c r="A199" s="53"/>
      <c r="B199" s="54"/>
      <c r="C199" s="154" t="str">
        <f t="shared" si="28"/>
        <v/>
      </c>
      <c r="D199" s="55"/>
      <c r="E199" s="208"/>
      <c r="F199" s="209"/>
      <c r="G199" s="51"/>
    </row>
    <row r="200" spans="1:7" s="52" customFormat="1" x14ac:dyDescent="0.3">
      <c r="A200" s="54"/>
      <c r="B200" s="54"/>
      <c r="C200" s="155" t="str">
        <f t="shared" si="28"/>
        <v/>
      </c>
      <c r="D200" s="55"/>
      <c r="E200" s="208"/>
      <c r="F200" s="209"/>
      <c r="G200" s="51"/>
    </row>
    <row r="201" spans="1:7" s="52" customFormat="1" x14ac:dyDescent="0.3">
      <c r="A201" s="54"/>
      <c r="B201" s="54"/>
      <c r="C201" s="155" t="str">
        <f t="shared" si="28"/>
        <v/>
      </c>
      <c r="D201" s="55"/>
      <c r="E201" s="208"/>
      <c r="F201" s="209"/>
      <c r="G201" s="51"/>
    </row>
    <row r="202" spans="1:7" s="52" customFormat="1" x14ac:dyDescent="0.3">
      <c r="A202" s="54"/>
      <c r="B202" s="54"/>
      <c r="C202" s="155" t="str">
        <f t="shared" si="28"/>
        <v/>
      </c>
      <c r="D202" s="55"/>
      <c r="E202" s="208"/>
      <c r="F202" s="209"/>
      <c r="G202" s="51"/>
    </row>
    <row r="203" spans="1:7" s="52" customFormat="1" ht="15" thickBot="1" x14ac:dyDescent="0.35">
      <c r="A203" s="56"/>
      <c r="B203" s="56"/>
      <c r="C203" s="156" t="str">
        <f t="shared" si="28"/>
        <v/>
      </c>
      <c r="D203" s="57"/>
      <c r="E203" s="210"/>
      <c r="F203" s="211"/>
      <c r="G203" s="51"/>
    </row>
    <row r="204" spans="1:7" s="52" customFormat="1" ht="15" thickBot="1" x14ac:dyDescent="0.35">
      <c r="A204" s="111" t="s">
        <v>27</v>
      </c>
      <c r="B204" s="84">
        <f>SUM(B196:B203)</f>
        <v>45</v>
      </c>
      <c r="C204" s="111" t="str">
        <f xml:space="preserve"> setValueToTime(B204)</f>
        <v>3h45min</v>
      </c>
      <c r="D204" s="120"/>
      <c r="E204" s="202"/>
      <c r="F204" s="203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10</v>
      </c>
      <c r="B206" s="164">
        <v>10</v>
      </c>
      <c r="C206" s="164"/>
      <c r="D206" s="82" t="s">
        <v>13</v>
      </c>
      <c r="E206" s="94">
        <v>44692</v>
      </c>
      <c r="F206" s="126" t="s">
        <v>53</v>
      </c>
      <c r="G206" s="46"/>
    </row>
    <row r="207" spans="1:7" s="47" customFormat="1" ht="30" customHeight="1" thickBot="1" x14ac:dyDescent="0.3">
      <c r="A207" s="80" t="s">
        <v>4</v>
      </c>
      <c r="B207" s="151" t="s">
        <v>38</v>
      </c>
      <c r="C207" s="152"/>
      <c r="D207" s="80" t="s">
        <v>11</v>
      </c>
      <c r="E207" s="204" t="s">
        <v>12</v>
      </c>
      <c r="F207" s="205"/>
      <c r="G207" s="46"/>
    </row>
    <row r="208" spans="1:7" s="52" customFormat="1" x14ac:dyDescent="0.3">
      <c r="A208" s="53" t="s">
        <v>15</v>
      </c>
      <c r="B208" s="54">
        <v>4</v>
      </c>
      <c r="C208" s="154" t="str">
        <f t="shared" ref="C208:C209" si="29" xml:space="preserve"> IF(B208="","",setValueToTime(B208))</f>
        <v>0h20min</v>
      </c>
      <c r="D208" s="167" t="s">
        <v>66</v>
      </c>
      <c r="E208" s="206"/>
      <c r="F208" s="207"/>
      <c r="G208" s="51"/>
    </row>
    <row r="209" spans="1:7" s="52" customFormat="1" x14ac:dyDescent="0.3">
      <c r="A209" s="53" t="s">
        <v>47</v>
      </c>
      <c r="B209" s="54">
        <v>1</v>
      </c>
      <c r="C209" s="154" t="str">
        <f t="shared" si="29"/>
        <v>0h5min</v>
      </c>
      <c r="D209" s="167" t="s">
        <v>81</v>
      </c>
      <c r="E209" s="208"/>
      <c r="F209" s="209"/>
      <c r="G209" s="51"/>
    </row>
    <row r="210" spans="1:7" s="52" customFormat="1" x14ac:dyDescent="0.3">
      <c r="A210" s="53" t="s">
        <v>58</v>
      </c>
      <c r="B210" s="54">
        <v>12</v>
      </c>
      <c r="C210" s="154" t="str">
        <f t="shared" ref="C209:C215" si="30" xml:space="preserve"> IF(B210="","",setValueToTime(B210))</f>
        <v>1h</v>
      </c>
      <c r="D210" s="167" t="s">
        <v>85</v>
      </c>
      <c r="E210" s="208"/>
      <c r="F210" s="209"/>
      <c r="G210" s="51"/>
    </row>
    <row r="211" spans="1:7" s="52" customFormat="1" x14ac:dyDescent="0.3">
      <c r="A211" s="53" t="s">
        <v>46</v>
      </c>
      <c r="B211" s="54">
        <v>10</v>
      </c>
      <c r="C211" s="154" t="str">
        <f t="shared" si="30"/>
        <v>0h50min</v>
      </c>
      <c r="D211" s="167" t="s">
        <v>86</v>
      </c>
      <c r="E211" s="208"/>
      <c r="F211" s="209"/>
      <c r="G211" s="51"/>
    </row>
    <row r="212" spans="1:7" s="52" customFormat="1" x14ac:dyDescent="0.3">
      <c r="A212" s="54" t="s">
        <v>14</v>
      </c>
      <c r="B212" s="54">
        <v>5</v>
      </c>
      <c r="C212" s="155" t="str">
        <f t="shared" si="30"/>
        <v>0h25min</v>
      </c>
      <c r="D212" s="55" t="s">
        <v>83</v>
      </c>
      <c r="E212" s="208"/>
      <c r="F212" s="209"/>
      <c r="G212" s="51"/>
    </row>
    <row r="213" spans="1:7" s="52" customFormat="1" ht="27" x14ac:dyDescent="0.3">
      <c r="A213" s="54" t="s">
        <v>54</v>
      </c>
      <c r="B213" s="54">
        <v>4</v>
      </c>
      <c r="C213" s="155" t="str">
        <f t="shared" si="30"/>
        <v>0h20min</v>
      </c>
      <c r="D213" s="167" t="s">
        <v>80</v>
      </c>
      <c r="E213" s="208"/>
      <c r="F213" s="209"/>
      <c r="G213" s="51"/>
    </row>
    <row r="214" spans="1:7" s="52" customFormat="1" x14ac:dyDescent="0.3">
      <c r="A214" s="54"/>
      <c r="B214" s="54"/>
      <c r="C214" s="155" t="str">
        <f t="shared" si="30"/>
        <v/>
      </c>
      <c r="D214" s="55"/>
      <c r="E214" s="208"/>
      <c r="F214" s="209"/>
      <c r="G214" s="51"/>
    </row>
    <row r="215" spans="1:7" s="52" customFormat="1" ht="15" thickBot="1" x14ac:dyDescent="0.35">
      <c r="A215" s="56"/>
      <c r="B215" s="56"/>
      <c r="C215" s="156" t="str">
        <f t="shared" si="30"/>
        <v/>
      </c>
      <c r="D215" s="57"/>
      <c r="E215" s="210"/>
      <c r="F215" s="211"/>
      <c r="G215" s="51"/>
    </row>
    <row r="216" spans="1:7" s="52" customFormat="1" ht="15" thickBot="1" x14ac:dyDescent="0.35">
      <c r="A216" s="111" t="s">
        <v>27</v>
      </c>
      <c r="B216" s="84">
        <f>SUM(B208:B215)</f>
        <v>36</v>
      </c>
      <c r="C216" s="111" t="str">
        <f xml:space="preserve"> setValueToTime(B216)</f>
        <v>3h</v>
      </c>
      <c r="D216" s="120"/>
      <c r="E216" s="202"/>
      <c r="F216" s="203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10</v>
      </c>
      <c r="B218" s="164">
        <v>9</v>
      </c>
      <c r="C218" s="164"/>
      <c r="D218" s="82" t="s">
        <v>13</v>
      </c>
      <c r="E218" s="94">
        <v>44692</v>
      </c>
      <c r="F218" s="126" t="s">
        <v>52</v>
      </c>
      <c r="G218" s="46"/>
    </row>
    <row r="219" spans="1:7" s="47" customFormat="1" ht="30" customHeight="1" thickBot="1" x14ac:dyDescent="0.3">
      <c r="A219" s="80" t="s">
        <v>4</v>
      </c>
      <c r="B219" s="151" t="s">
        <v>38</v>
      </c>
      <c r="C219" s="152"/>
      <c r="D219" s="80" t="s">
        <v>11</v>
      </c>
      <c r="E219" s="204" t="s">
        <v>12</v>
      </c>
      <c r="F219" s="205"/>
      <c r="G219" s="46"/>
    </row>
    <row r="220" spans="1:7" s="52" customFormat="1" x14ac:dyDescent="0.3">
      <c r="A220" s="48" t="s">
        <v>58</v>
      </c>
      <c r="B220" s="49">
        <v>35</v>
      </c>
      <c r="C220" s="153" t="str">
        <f xml:space="preserve"> IF(B220="","",setValueToTime(B220))</f>
        <v>2h55min</v>
      </c>
      <c r="D220" s="166" t="s">
        <v>85</v>
      </c>
      <c r="E220" s="206"/>
      <c r="F220" s="207"/>
      <c r="G220" s="51"/>
    </row>
    <row r="221" spans="1:7" s="52" customFormat="1" x14ac:dyDescent="0.3">
      <c r="A221" s="53" t="s">
        <v>46</v>
      </c>
      <c r="B221" s="54">
        <v>10</v>
      </c>
      <c r="C221" s="154" t="str">
        <f t="shared" ref="C221:C227" si="31" xml:space="preserve"> IF(B221="","",setValueToTime(B221))</f>
        <v>0h50min</v>
      </c>
      <c r="D221" s="167" t="s">
        <v>86</v>
      </c>
      <c r="E221" s="208"/>
      <c r="F221" s="209"/>
      <c r="G221" s="51"/>
    </row>
    <row r="222" spans="1:7" s="52" customFormat="1" x14ac:dyDescent="0.3">
      <c r="A222" s="53"/>
      <c r="B222" s="54"/>
      <c r="C222" s="154" t="str">
        <f t="shared" si="31"/>
        <v/>
      </c>
      <c r="D222" s="167"/>
      <c r="E222" s="208"/>
      <c r="F222" s="209"/>
      <c r="G222" s="51"/>
    </row>
    <row r="223" spans="1:7" s="52" customFormat="1" x14ac:dyDescent="0.3">
      <c r="A223" s="53"/>
      <c r="B223" s="54"/>
      <c r="C223" s="154" t="str">
        <f t="shared" si="31"/>
        <v/>
      </c>
      <c r="D223" s="55"/>
      <c r="E223" s="208"/>
      <c r="F223" s="209"/>
      <c r="G223" s="51"/>
    </row>
    <row r="224" spans="1:7" s="52" customFormat="1" x14ac:dyDescent="0.3">
      <c r="A224" s="54"/>
      <c r="B224" s="54"/>
      <c r="C224" s="155" t="str">
        <f t="shared" si="31"/>
        <v/>
      </c>
      <c r="D224" s="55"/>
      <c r="E224" s="208"/>
      <c r="F224" s="209"/>
      <c r="G224" s="51"/>
    </row>
    <row r="225" spans="1:7" s="52" customFormat="1" x14ac:dyDescent="0.3">
      <c r="A225" s="54"/>
      <c r="B225" s="54"/>
      <c r="C225" s="155" t="str">
        <f t="shared" si="31"/>
        <v/>
      </c>
      <c r="D225" s="55"/>
      <c r="E225" s="208"/>
      <c r="F225" s="209"/>
      <c r="G225" s="51"/>
    </row>
    <row r="226" spans="1:7" s="52" customFormat="1" x14ac:dyDescent="0.3">
      <c r="A226" s="54"/>
      <c r="B226" s="54"/>
      <c r="C226" s="155" t="str">
        <f t="shared" si="31"/>
        <v/>
      </c>
      <c r="D226" s="55"/>
      <c r="E226" s="208"/>
      <c r="F226" s="209"/>
      <c r="G226" s="51"/>
    </row>
    <row r="227" spans="1:7" s="52" customFormat="1" ht="15" thickBot="1" x14ac:dyDescent="0.35">
      <c r="A227" s="56"/>
      <c r="B227" s="56"/>
      <c r="C227" s="156" t="str">
        <f t="shared" si="31"/>
        <v/>
      </c>
      <c r="D227" s="57"/>
      <c r="E227" s="210"/>
      <c r="F227" s="211"/>
      <c r="G227" s="51"/>
    </row>
    <row r="228" spans="1:7" s="52" customFormat="1" ht="15" thickBot="1" x14ac:dyDescent="0.35">
      <c r="A228" s="111" t="s">
        <v>27</v>
      </c>
      <c r="B228" s="84">
        <f>SUM(B220:B227)</f>
        <v>45</v>
      </c>
      <c r="C228" s="111" t="str">
        <f xml:space="preserve"> setValueToTime(B228)</f>
        <v>3h45min</v>
      </c>
      <c r="D228" s="120"/>
      <c r="E228" s="202"/>
      <c r="F228" s="203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10</v>
      </c>
      <c r="B230" s="164">
        <v>8</v>
      </c>
      <c r="C230" s="164"/>
      <c r="D230" s="82" t="s">
        <v>13</v>
      </c>
      <c r="E230" s="94">
        <v>44690</v>
      </c>
      <c r="F230" s="126" t="s">
        <v>52</v>
      </c>
      <c r="G230" s="46"/>
    </row>
    <row r="231" spans="1:7" s="47" customFormat="1" ht="30" customHeight="1" thickBot="1" x14ac:dyDescent="0.3">
      <c r="A231" s="80" t="s">
        <v>4</v>
      </c>
      <c r="B231" s="151" t="s">
        <v>38</v>
      </c>
      <c r="C231" s="152"/>
      <c r="D231" s="80" t="s">
        <v>11</v>
      </c>
      <c r="E231" s="204" t="s">
        <v>12</v>
      </c>
      <c r="F231" s="205"/>
      <c r="G231" s="46"/>
    </row>
    <row r="232" spans="1:7" s="52" customFormat="1" x14ac:dyDescent="0.3">
      <c r="A232" s="48" t="s">
        <v>45</v>
      </c>
      <c r="B232" s="49">
        <v>32</v>
      </c>
      <c r="C232" s="153" t="str">
        <f xml:space="preserve"> IF(B232="","",setValueToTime(B232))</f>
        <v>2h40min</v>
      </c>
      <c r="D232" s="166" t="s">
        <v>82</v>
      </c>
      <c r="E232" s="206"/>
      <c r="F232" s="207"/>
      <c r="G232" s="51"/>
    </row>
    <row r="233" spans="1:7" s="52" customFormat="1" x14ac:dyDescent="0.3">
      <c r="A233" s="53" t="s">
        <v>65</v>
      </c>
      <c r="B233" s="54">
        <v>4</v>
      </c>
      <c r="C233" s="154" t="str">
        <f t="shared" ref="C233:C239" si="32" xml:space="preserve"> IF(B233="","",setValueToTime(B233))</f>
        <v>0h20min</v>
      </c>
      <c r="D233" s="167" t="s">
        <v>79</v>
      </c>
      <c r="E233" s="208"/>
      <c r="F233" s="209"/>
      <c r="G233" s="51"/>
    </row>
    <row r="234" spans="1:7" s="52" customFormat="1" x14ac:dyDescent="0.3">
      <c r="A234" s="53"/>
      <c r="B234" s="54"/>
      <c r="C234" s="154" t="str">
        <f t="shared" si="32"/>
        <v/>
      </c>
      <c r="D234" s="55"/>
      <c r="E234" s="208"/>
      <c r="F234" s="209"/>
      <c r="G234" s="51"/>
    </row>
    <row r="235" spans="1:7" s="52" customFormat="1" x14ac:dyDescent="0.3">
      <c r="A235" s="53"/>
      <c r="B235" s="54"/>
      <c r="C235" s="154" t="str">
        <f t="shared" si="32"/>
        <v/>
      </c>
      <c r="D235" s="55"/>
      <c r="E235" s="208"/>
      <c r="F235" s="209"/>
      <c r="G235" s="51"/>
    </row>
    <row r="236" spans="1:7" s="52" customFormat="1" x14ac:dyDescent="0.3">
      <c r="A236" s="54"/>
      <c r="B236" s="54"/>
      <c r="C236" s="155" t="str">
        <f t="shared" si="32"/>
        <v/>
      </c>
      <c r="D236" s="55"/>
      <c r="E236" s="208"/>
      <c r="F236" s="209"/>
      <c r="G236" s="51"/>
    </row>
    <row r="237" spans="1:7" s="52" customFormat="1" x14ac:dyDescent="0.3">
      <c r="A237" s="54"/>
      <c r="B237" s="54"/>
      <c r="C237" s="155" t="str">
        <f t="shared" si="32"/>
        <v/>
      </c>
      <c r="D237" s="55"/>
      <c r="E237" s="208"/>
      <c r="F237" s="209"/>
      <c r="G237" s="51"/>
    </row>
    <row r="238" spans="1:7" s="52" customFormat="1" x14ac:dyDescent="0.3">
      <c r="A238" s="54"/>
      <c r="B238" s="54"/>
      <c r="C238" s="155" t="str">
        <f t="shared" si="32"/>
        <v/>
      </c>
      <c r="D238" s="55"/>
      <c r="E238" s="208"/>
      <c r="F238" s="209"/>
      <c r="G238" s="51"/>
    </row>
    <row r="239" spans="1:7" s="52" customFormat="1" ht="15" thickBot="1" x14ac:dyDescent="0.35">
      <c r="A239" s="56"/>
      <c r="B239" s="56"/>
      <c r="C239" s="156" t="str">
        <f t="shared" si="32"/>
        <v/>
      </c>
      <c r="D239" s="57"/>
      <c r="E239" s="210"/>
      <c r="F239" s="211"/>
      <c r="G239" s="51"/>
    </row>
    <row r="240" spans="1:7" s="52" customFormat="1" ht="15" thickBot="1" x14ac:dyDescent="0.35">
      <c r="A240" s="111" t="s">
        <v>27</v>
      </c>
      <c r="B240" s="84">
        <f>SUM(B232:B239)</f>
        <v>36</v>
      </c>
      <c r="C240" s="111" t="str">
        <f xml:space="preserve"> setValueToTime(B240)</f>
        <v>3h</v>
      </c>
      <c r="D240" s="120"/>
      <c r="E240" s="202"/>
      <c r="F240" s="203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10</v>
      </c>
      <c r="B242" s="164">
        <v>7</v>
      </c>
      <c r="C242" s="164"/>
      <c r="D242" s="82" t="s">
        <v>13</v>
      </c>
      <c r="E242" s="94">
        <v>44687</v>
      </c>
      <c r="F242" s="126" t="s">
        <v>53</v>
      </c>
      <c r="G242" s="46"/>
    </row>
    <row r="243" spans="1:7" s="47" customFormat="1" ht="30" customHeight="1" thickBot="1" x14ac:dyDescent="0.3">
      <c r="A243" s="80" t="s">
        <v>4</v>
      </c>
      <c r="B243" s="151" t="s">
        <v>38</v>
      </c>
      <c r="C243" s="152"/>
      <c r="D243" s="80" t="s">
        <v>11</v>
      </c>
      <c r="E243" s="204" t="s">
        <v>12</v>
      </c>
      <c r="F243" s="205"/>
      <c r="G243" s="46"/>
    </row>
    <row r="244" spans="1:7" s="52" customFormat="1" x14ac:dyDescent="0.3">
      <c r="A244" s="48" t="s">
        <v>45</v>
      </c>
      <c r="B244" s="49">
        <v>22</v>
      </c>
      <c r="C244" s="153" t="str">
        <f xml:space="preserve"> IF(B244="","",setValueToTime(B244))</f>
        <v>1h50min</v>
      </c>
      <c r="D244" s="166" t="s">
        <v>84</v>
      </c>
      <c r="E244" s="206"/>
      <c r="F244" s="207"/>
      <c r="G244" s="51"/>
    </row>
    <row r="245" spans="1:7" s="52" customFormat="1" ht="27" x14ac:dyDescent="0.3">
      <c r="A245" s="53" t="s">
        <v>54</v>
      </c>
      <c r="B245" s="54">
        <v>4</v>
      </c>
      <c r="C245" s="154" t="str">
        <f t="shared" ref="C245:C251" si="33" xml:space="preserve"> IF(B245="","",setValueToTime(B245))</f>
        <v>0h20min</v>
      </c>
      <c r="D245" s="167" t="s">
        <v>80</v>
      </c>
      <c r="E245" s="208"/>
      <c r="F245" s="209"/>
      <c r="G245" s="51"/>
    </row>
    <row r="246" spans="1:7" s="52" customFormat="1" x14ac:dyDescent="0.3">
      <c r="A246" s="53" t="s">
        <v>15</v>
      </c>
      <c r="B246" s="54">
        <v>4</v>
      </c>
      <c r="C246" s="154" t="str">
        <f t="shared" si="33"/>
        <v>0h20min</v>
      </c>
      <c r="D246" s="167" t="s">
        <v>66</v>
      </c>
      <c r="E246" s="208"/>
      <c r="F246" s="209"/>
      <c r="G246" s="51"/>
    </row>
    <row r="247" spans="1:7" s="52" customFormat="1" x14ac:dyDescent="0.3">
      <c r="A247" s="53" t="s">
        <v>47</v>
      </c>
      <c r="B247" s="54">
        <v>1</v>
      </c>
      <c r="C247" s="154" t="str">
        <f t="shared" si="33"/>
        <v>0h5min</v>
      </c>
      <c r="D247" s="167" t="s">
        <v>81</v>
      </c>
      <c r="E247" s="208"/>
      <c r="F247" s="209"/>
      <c r="G247" s="51"/>
    </row>
    <row r="248" spans="1:7" s="52" customFormat="1" x14ac:dyDescent="0.3">
      <c r="A248" s="54" t="s">
        <v>65</v>
      </c>
      <c r="B248" s="54">
        <v>5</v>
      </c>
      <c r="C248" s="155" t="str">
        <f t="shared" si="33"/>
        <v>0h25min</v>
      </c>
      <c r="D248" s="167" t="s">
        <v>79</v>
      </c>
      <c r="E248" s="208"/>
      <c r="F248" s="209"/>
      <c r="G248" s="51"/>
    </row>
    <row r="249" spans="1:7" s="52" customFormat="1" x14ac:dyDescent="0.3">
      <c r="A249" s="54"/>
      <c r="B249" s="54"/>
      <c r="C249" s="155" t="str">
        <f t="shared" si="33"/>
        <v/>
      </c>
      <c r="D249" s="55"/>
      <c r="E249" s="208"/>
      <c r="F249" s="209"/>
      <c r="G249" s="51"/>
    </row>
    <row r="250" spans="1:7" s="52" customFormat="1" x14ac:dyDescent="0.3">
      <c r="A250" s="54"/>
      <c r="B250" s="54"/>
      <c r="C250" s="155" t="str">
        <f t="shared" si="33"/>
        <v/>
      </c>
      <c r="D250" s="55"/>
      <c r="E250" s="208"/>
      <c r="F250" s="209"/>
      <c r="G250" s="51"/>
    </row>
    <row r="251" spans="1:7" s="52" customFormat="1" ht="15" thickBot="1" x14ac:dyDescent="0.35">
      <c r="A251" s="56"/>
      <c r="B251" s="56"/>
      <c r="C251" s="156" t="str">
        <f t="shared" si="33"/>
        <v/>
      </c>
      <c r="D251" s="57"/>
      <c r="E251" s="210"/>
      <c r="F251" s="211"/>
      <c r="G251" s="51"/>
    </row>
    <row r="252" spans="1:7" s="52" customFormat="1" ht="15" thickBot="1" x14ac:dyDescent="0.35">
      <c r="A252" s="111" t="s">
        <v>27</v>
      </c>
      <c r="B252" s="84">
        <f>SUM(B244:B251)</f>
        <v>36</v>
      </c>
      <c r="C252" s="111" t="str">
        <f xml:space="preserve"> setValueToTime(B252)</f>
        <v>3h</v>
      </c>
      <c r="D252" s="120"/>
      <c r="E252" s="202"/>
      <c r="F252" s="203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10</v>
      </c>
      <c r="B254" s="164">
        <v>6</v>
      </c>
      <c r="C254" s="164"/>
      <c r="D254" s="82" t="s">
        <v>13</v>
      </c>
      <c r="E254" s="94">
        <v>44687</v>
      </c>
      <c r="F254" s="126" t="s">
        <v>52</v>
      </c>
      <c r="G254" s="46"/>
    </row>
    <row r="255" spans="1:7" s="47" customFormat="1" ht="30" customHeight="1" thickBot="1" x14ac:dyDescent="0.3">
      <c r="A255" s="80" t="s">
        <v>4</v>
      </c>
      <c r="B255" s="151" t="s">
        <v>38</v>
      </c>
      <c r="C255" s="152"/>
      <c r="D255" s="80" t="s">
        <v>11</v>
      </c>
      <c r="E255" s="204" t="s">
        <v>12</v>
      </c>
      <c r="F255" s="205"/>
      <c r="G255" s="46"/>
    </row>
    <row r="256" spans="1:7" s="52" customFormat="1" x14ac:dyDescent="0.3">
      <c r="A256" s="48" t="s">
        <v>45</v>
      </c>
      <c r="B256" s="49">
        <v>9</v>
      </c>
      <c r="C256" s="153" t="str">
        <f xml:space="preserve"> IF(B256="","",setValueToTime(B256))</f>
        <v>0h45min</v>
      </c>
      <c r="D256" s="166" t="s">
        <v>84</v>
      </c>
      <c r="E256" s="206"/>
      <c r="F256" s="207"/>
      <c r="G256" s="51"/>
    </row>
    <row r="257" spans="1:7" s="52" customFormat="1" ht="27" x14ac:dyDescent="0.3">
      <c r="A257" s="53" t="s">
        <v>14</v>
      </c>
      <c r="B257" s="54">
        <v>36</v>
      </c>
      <c r="C257" s="154" t="str">
        <f t="shared" ref="C257:C263" si="34" xml:space="preserve"> IF(B257="","",setValueToTime(B257))</f>
        <v>3h</v>
      </c>
      <c r="D257" s="167" t="s">
        <v>94</v>
      </c>
      <c r="E257" s="208"/>
      <c r="F257" s="209"/>
      <c r="G257" s="51"/>
    </row>
    <row r="258" spans="1:7" s="52" customFormat="1" x14ac:dyDescent="0.3">
      <c r="A258" s="53"/>
      <c r="B258" s="54"/>
      <c r="C258" s="154" t="str">
        <f t="shared" si="34"/>
        <v/>
      </c>
      <c r="D258" s="55"/>
      <c r="E258" s="208"/>
      <c r="F258" s="209"/>
      <c r="G258" s="51"/>
    </row>
    <row r="259" spans="1:7" s="52" customFormat="1" x14ac:dyDescent="0.3">
      <c r="A259" s="53"/>
      <c r="B259" s="54"/>
      <c r="C259" s="154" t="str">
        <f t="shared" si="34"/>
        <v/>
      </c>
      <c r="D259" s="55"/>
      <c r="E259" s="208"/>
      <c r="F259" s="209"/>
      <c r="G259" s="51"/>
    </row>
    <row r="260" spans="1:7" s="52" customFormat="1" x14ac:dyDescent="0.3">
      <c r="A260" s="54"/>
      <c r="B260" s="54"/>
      <c r="C260" s="155" t="str">
        <f t="shared" si="34"/>
        <v/>
      </c>
      <c r="D260" s="55"/>
      <c r="E260" s="208"/>
      <c r="F260" s="209"/>
      <c r="G260" s="51"/>
    </row>
    <row r="261" spans="1:7" s="52" customFormat="1" x14ac:dyDescent="0.3">
      <c r="A261" s="54"/>
      <c r="B261" s="54"/>
      <c r="C261" s="155" t="str">
        <f t="shared" si="34"/>
        <v/>
      </c>
      <c r="D261" s="55"/>
      <c r="E261" s="208"/>
      <c r="F261" s="209"/>
      <c r="G261" s="51"/>
    </row>
    <row r="262" spans="1:7" s="52" customFormat="1" x14ac:dyDescent="0.3">
      <c r="A262" s="54"/>
      <c r="B262" s="54"/>
      <c r="C262" s="155" t="str">
        <f t="shared" si="34"/>
        <v/>
      </c>
      <c r="D262" s="55"/>
      <c r="E262" s="208"/>
      <c r="F262" s="209"/>
      <c r="G262" s="51"/>
    </row>
    <row r="263" spans="1:7" s="52" customFormat="1" ht="15" thickBot="1" x14ac:dyDescent="0.35">
      <c r="A263" s="56"/>
      <c r="B263" s="56"/>
      <c r="C263" s="156" t="str">
        <f t="shared" si="34"/>
        <v/>
      </c>
      <c r="D263" s="57"/>
      <c r="E263" s="210"/>
      <c r="F263" s="211"/>
      <c r="G263" s="51"/>
    </row>
    <row r="264" spans="1:7" s="52" customFormat="1" ht="15" thickBot="1" x14ac:dyDescent="0.35">
      <c r="A264" s="111" t="s">
        <v>27</v>
      </c>
      <c r="B264" s="84">
        <f>SUM(B256:B263)</f>
        <v>45</v>
      </c>
      <c r="C264" s="111" t="str">
        <f xml:space="preserve"> setValueToTime(B264)</f>
        <v>3h45min</v>
      </c>
      <c r="D264" s="120"/>
      <c r="E264" s="202"/>
      <c r="F264" s="203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10</v>
      </c>
      <c r="B266" s="164">
        <v>5</v>
      </c>
      <c r="C266" s="164"/>
      <c r="D266" s="82" t="s">
        <v>13</v>
      </c>
      <c r="E266" s="94">
        <v>44686</v>
      </c>
      <c r="F266" s="126" t="s">
        <v>53</v>
      </c>
      <c r="G266" s="46"/>
    </row>
    <row r="267" spans="1:7" s="47" customFormat="1" ht="30" customHeight="1" thickBot="1" x14ac:dyDescent="0.3">
      <c r="A267" s="80" t="s">
        <v>4</v>
      </c>
      <c r="B267" s="151" t="s">
        <v>38</v>
      </c>
      <c r="C267" s="152"/>
      <c r="D267" s="80" t="s">
        <v>11</v>
      </c>
      <c r="E267" s="204" t="s">
        <v>12</v>
      </c>
      <c r="F267" s="205"/>
      <c r="G267" s="46"/>
    </row>
    <row r="268" spans="1:7" s="52" customFormat="1" ht="27" x14ac:dyDescent="0.3">
      <c r="A268" s="48" t="s">
        <v>60</v>
      </c>
      <c r="B268" s="49">
        <v>20</v>
      </c>
      <c r="C268" s="153" t="str">
        <f xml:space="preserve"> IF(B268="","",setValueToTime(B268))</f>
        <v>1h40min</v>
      </c>
      <c r="D268" s="167" t="s">
        <v>69</v>
      </c>
      <c r="E268" s="206"/>
      <c r="F268" s="207"/>
      <c r="G268" s="51"/>
    </row>
    <row r="269" spans="1:7" s="52" customFormat="1" x14ac:dyDescent="0.3">
      <c r="A269" s="53" t="s">
        <v>14</v>
      </c>
      <c r="B269" s="54">
        <v>11</v>
      </c>
      <c r="C269" s="154" t="str">
        <f t="shared" ref="C269:C275" si="35" xml:space="preserve"> IF(B269="","",setValueToTime(B269))</f>
        <v>0h55min</v>
      </c>
      <c r="D269" s="167" t="s">
        <v>70</v>
      </c>
      <c r="E269" s="208"/>
      <c r="F269" s="209"/>
      <c r="G269" s="51"/>
    </row>
    <row r="270" spans="1:7" s="52" customFormat="1" x14ac:dyDescent="0.3">
      <c r="A270" s="53" t="s">
        <v>15</v>
      </c>
      <c r="B270" s="54">
        <v>4</v>
      </c>
      <c r="C270" s="154" t="str">
        <f t="shared" si="35"/>
        <v>0h20min</v>
      </c>
      <c r="D270" s="167" t="s">
        <v>72</v>
      </c>
      <c r="E270" s="208"/>
      <c r="F270" s="209"/>
      <c r="G270" s="51"/>
    </row>
    <row r="271" spans="1:7" s="52" customFormat="1" x14ac:dyDescent="0.3">
      <c r="A271" s="53" t="s">
        <v>47</v>
      </c>
      <c r="B271" s="54">
        <v>1</v>
      </c>
      <c r="C271" s="154" t="str">
        <f t="shared" si="35"/>
        <v>0h5min</v>
      </c>
      <c r="D271" s="167" t="s">
        <v>71</v>
      </c>
      <c r="E271" s="208"/>
      <c r="F271" s="209"/>
      <c r="G271" s="51"/>
    </row>
    <row r="272" spans="1:7" s="52" customFormat="1" x14ac:dyDescent="0.3">
      <c r="A272" s="54"/>
      <c r="B272" s="54"/>
      <c r="C272" s="155" t="str">
        <f t="shared" si="35"/>
        <v/>
      </c>
      <c r="D272" s="55"/>
      <c r="E272" s="208"/>
      <c r="F272" s="209"/>
      <c r="G272" s="51"/>
    </row>
    <row r="273" spans="1:7" s="52" customFormat="1" x14ac:dyDescent="0.3">
      <c r="A273" s="54"/>
      <c r="B273" s="54"/>
      <c r="C273" s="155" t="str">
        <f t="shared" si="35"/>
        <v/>
      </c>
      <c r="D273" s="55"/>
      <c r="E273" s="208"/>
      <c r="F273" s="209"/>
      <c r="G273" s="51"/>
    </row>
    <row r="274" spans="1:7" s="52" customFormat="1" x14ac:dyDescent="0.3">
      <c r="A274" s="54"/>
      <c r="B274" s="54"/>
      <c r="C274" s="155" t="str">
        <f t="shared" si="35"/>
        <v/>
      </c>
      <c r="D274" s="55"/>
      <c r="E274" s="208"/>
      <c r="F274" s="209"/>
      <c r="G274" s="51"/>
    </row>
    <row r="275" spans="1:7" s="52" customFormat="1" ht="15" thickBot="1" x14ac:dyDescent="0.35">
      <c r="A275" s="56"/>
      <c r="B275" s="56"/>
      <c r="C275" s="156" t="str">
        <f t="shared" si="35"/>
        <v/>
      </c>
      <c r="D275" s="57"/>
      <c r="E275" s="210"/>
      <c r="F275" s="211"/>
      <c r="G275" s="51"/>
    </row>
    <row r="276" spans="1:7" s="52" customFormat="1" ht="15" thickBot="1" x14ac:dyDescent="0.35">
      <c r="A276" s="111" t="s">
        <v>27</v>
      </c>
      <c r="B276" s="84">
        <f>SUM(B268:B275)</f>
        <v>36</v>
      </c>
      <c r="C276" s="111" t="str">
        <f xml:space="preserve"> setValueToTime(B276)</f>
        <v>3h</v>
      </c>
      <c r="D276" s="120"/>
      <c r="E276" s="202"/>
      <c r="F276" s="203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10</v>
      </c>
      <c r="B278" s="164">
        <v>4</v>
      </c>
      <c r="C278" s="164"/>
      <c r="D278" s="82" t="s">
        <v>13</v>
      </c>
      <c r="E278" s="94">
        <v>44686</v>
      </c>
      <c r="F278" s="126" t="s">
        <v>52</v>
      </c>
      <c r="G278" s="46"/>
    </row>
    <row r="279" spans="1:7" s="47" customFormat="1" ht="30" customHeight="1" thickBot="1" x14ac:dyDescent="0.3">
      <c r="A279" s="80" t="s">
        <v>4</v>
      </c>
      <c r="B279" s="151" t="s">
        <v>38</v>
      </c>
      <c r="C279" s="152"/>
      <c r="D279" s="80" t="s">
        <v>11</v>
      </c>
      <c r="E279" s="204" t="s">
        <v>12</v>
      </c>
      <c r="F279" s="205"/>
      <c r="G279" s="46"/>
    </row>
    <row r="280" spans="1:7" s="52" customFormat="1" x14ac:dyDescent="0.3">
      <c r="A280" s="48" t="s">
        <v>65</v>
      </c>
      <c r="B280" s="49">
        <v>21</v>
      </c>
      <c r="C280" s="153" t="str">
        <f xml:space="preserve"> IF(B280="","",setValueToTime(B280))</f>
        <v>1h45min</v>
      </c>
      <c r="D280" s="166" t="s">
        <v>68</v>
      </c>
      <c r="E280" s="206"/>
      <c r="F280" s="207"/>
      <c r="G280" s="51"/>
    </row>
    <row r="281" spans="1:7" s="52" customFormat="1" ht="27" x14ac:dyDescent="0.3">
      <c r="A281" s="53" t="s">
        <v>60</v>
      </c>
      <c r="B281" s="54">
        <v>14</v>
      </c>
      <c r="C281" s="154" t="str">
        <f t="shared" ref="C281:C287" si="36" xml:space="preserve"> IF(B281="","",setValueToTime(B281))</f>
        <v>1h10min</v>
      </c>
      <c r="D281" s="167" t="s">
        <v>69</v>
      </c>
      <c r="E281" s="208"/>
      <c r="F281" s="209"/>
      <c r="G281" s="51"/>
    </row>
    <row r="282" spans="1:7" s="52" customFormat="1" x14ac:dyDescent="0.3">
      <c r="A282" s="53" t="s">
        <v>44</v>
      </c>
      <c r="B282" s="54">
        <v>10</v>
      </c>
      <c r="C282" s="154" t="str">
        <f t="shared" si="36"/>
        <v>0h50min</v>
      </c>
      <c r="D282" s="167" t="s">
        <v>78</v>
      </c>
      <c r="E282" s="208"/>
      <c r="F282" s="209"/>
      <c r="G282" s="51"/>
    </row>
    <row r="283" spans="1:7" s="52" customFormat="1" x14ac:dyDescent="0.3">
      <c r="A283" s="53"/>
      <c r="B283" s="54"/>
      <c r="C283" s="154" t="str">
        <f t="shared" si="36"/>
        <v/>
      </c>
      <c r="D283" s="55"/>
      <c r="E283" s="208"/>
      <c r="F283" s="209"/>
      <c r="G283" s="51"/>
    </row>
    <row r="284" spans="1:7" s="52" customFormat="1" x14ac:dyDescent="0.3">
      <c r="A284" s="54"/>
      <c r="B284" s="54"/>
      <c r="C284" s="155" t="str">
        <f t="shared" si="36"/>
        <v/>
      </c>
      <c r="D284" s="55"/>
      <c r="E284" s="208"/>
      <c r="F284" s="209"/>
      <c r="G284" s="51"/>
    </row>
    <row r="285" spans="1:7" s="52" customFormat="1" x14ac:dyDescent="0.3">
      <c r="A285" s="54"/>
      <c r="B285" s="54"/>
      <c r="C285" s="155" t="str">
        <f t="shared" si="36"/>
        <v/>
      </c>
      <c r="D285" s="55"/>
      <c r="E285" s="208"/>
      <c r="F285" s="209"/>
      <c r="G285" s="51"/>
    </row>
    <row r="286" spans="1:7" s="52" customFormat="1" x14ac:dyDescent="0.3">
      <c r="A286" s="54"/>
      <c r="B286" s="54"/>
      <c r="C286" s="155" t="str">
        <f t="shared" si="36"/>
        <v/>
      </c>
      <c r="D286" s="55"/>
      <c r="E286" s="208"/>
      <c r="F286" s="209"/>
      <c r="G286" s="51"/>
    </row>
    <row r="287" spans="1:7" s="52" customFormat="1" ht="15" thickBot="1" x14ac:dyDescent="0.35">
      <c r="A287" s="56"/>
      <c r="B287" s="56"/>
      <c r="C287" s="156" t="str">
        <f t="shared" si="36"/>
        <v/>
      </c>
      <c r="D287" s="57"/>
      <c r="E287" s="210"/>
      <c r="F287" s="211"/>
      <c r="G287" s="51"/>
    </row>
    <row r="288" spans="1:7" s="52" customFormat="1" ht="15" thickBot="1" x14ac:dyDescent="0.35">
      <c r="A288" s="111" t="s">
        <v>27</v>
      </c>
      <c r="B288" s="84">
        <f>SUM(B280:B287)</f>
        <v>45</v>
      </c>
      <c r="C288" s="111" t="str">
        <f xml:space="preserve"> setValueToTime(B288)</f>
        <v>3h45min</v>
      </c>
      <c r="D288" s="120"/>
      <c r="E288" s="202"/>
      <c r="F288" s="203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10</v>
      </c>
      <c r="B290" s="164">
        <v>3</v>
      </c>
      <c r="C290" s="164"/>
      <c r="D290" s="82" t="s">
        <v>13</v>
      </c>
      <c r="E290" s="94">
        <v>44685</v>
      </c>
      <c r="F290" s="126" t="s">
        <v>53</v>
      </c>
      <c r="G290" s="46"/>
    </row>
    <row r="291" spans="1:7" s="47" customFormat="1" ht="30" customHeight="1" thickBot="1" x14ac:dyDescent="0.3">
      <c r="A291" s="80" t="s">
        <v>4</v>
      </c>
      <c r="B291" s="151" t="s">
        <v>38</v>
      </c>
      <c r="C291" s="152"/>
      <c r="D291" s="80" t="s">
        <v>11</v>
      </c>
      <c r="E291" s="204" t="s">
        <v>12</v>
      </c>
      <c r="F291" s="205"/>
      <c r="G291" s="46"/>
    </row>
    <row r="292" spans="1:7" s="52" customFormat="1" x14ac:dyDescent="0.3">
      <c r="A292" s="48" t="s">
        <v>47</v>
      </c>
      <c r="B292" s="49">
        <v>5</v>
      </c>
      <c r="C292" s="153" t="str">
        <f xml:space="preserve"> IF(B292="","",setValueToTime(B292))</f>
        <v>0h25min</v>
      </c>
      <c r="D292" s="166" t="s">
        <v>62</v>
      </c>
      <c r="E292" s="206"/>
      <c r="F292" s="207"/>
      <c r="G292" s="51"/>
    </row>
    <row r="293" spans="1:7" s="52" customFormat="1" x14ac:dyDescent="0.3">
      <c r="A293" s="53" t="s">
        <v>14</v>
      </c>
      <c r="B293" s="54">
        <v>10</v>
      </c>
      <c r="C293" s="154" t="str">
        <f t="shared" ref="C293:C299" si="37" xml:space="preserve"> IF(B293="","",setValueToTime(B293))</f>
        <v>0h50min</v>
      </c>
      <c r="D293" s="167" t="s">
        <v>64</v>
      </c>
      <c r="E293" s="208"/>
      <c r="F293" s="209"/>
      <c r="G293" s="51"/>
    </row>
    <row r="294" spans="1:7" s="52" customFormat="1" x14ac:dyDescent="0.3">
      <c r="A294" s="53" t="s">
        <v>65</v>
      </c>
      <c r="B294" s="54">
        <v>4</v>
      </c>
      <c r="C294" s="154" t="str">
        <f t="shared" ref="C294:C296" si="38" xml:space="preserve"> IF(B294="","",setValueToTime(B294))</f>
        <v>0h20min</v>
      </c>
      <c r="D294" s="167" t="s">
        <v>67</v>
      </c>
      <c r="E294" s="208"/>
      <c r="F294" s="209"/>
      <c r="G294" s="51"/>
    </row>
    <row r="295" spans="1:7" s="52" customFormat="1" x14ac:dyDescent="0.3">
      <c r="A295" s="54" t="s">
        <v>15</v>
      </c>
      <c r="B295" s="54">
        <v>4</v>
      </c>
      <c r="C295" s="155" t="str">
        <f t="shared" si="38"/>
        <v>0h20min</v>
      </c>
      <c r="D295" s="167" t="s">
        <v>66</v>
      </c>
      <c r="E295" s="208"/>
      <c r="F295" s="209"/>
      <c r="G295" s="51"/>
    </row>
    <row r="296" spans="1:7" s="52" customFormat="1" x14ac:dyDescent="0.3">
      <c r="A296" s="54" t="s">
        <v>43</v>
      </c>
      <c r="B296" s="54">
        <v>13</v>
      </c>
      <c r="C296" s="155" t="str">
        <f t="shared" si="38"/>
        <v>1h5min</v>
      </c>
      <c r="D296" s="167" t="s">
        <v>76</v>
      </c>
      <c r="E296" s="208"/>
      <c r="F296" s="209"/>
      <c r="G296" s="51"/>
    </row>
    <row r="297" spans="1:7" s="52" customFormat="1" x14ac:dyDescent="0.3">
      <c r="A297" s="54"/>
      <c r="B297" s="54"/>
      <c r="C297" s="155" t="str">
        <f t="shared" si="37"/>
        <v/>
      </c>
      <c r="D297" s="167"/>
      <c r="E297" s="208"/>
      <c r="F297" s="209"/>
      <c r="G297" s="51"/>
    </row>
    <row r="298" spans="1:7" s="52" customFormat="1" x14ac:dyDescent="0.3">
      <c r="A298" s="54"/>
      <c r="B298" s="54"/>
      <c r="C298" s="155" t="str">
        <f t="shared" si="37"/>
        <v/>
      </c>
      <c r="D298" s="55"/>
      <c r="E298" s="208"/>
      <c r="F298" s="209"/>
      <c r="G298" s="51"/>
    </row>
    <row r="299" spans="1:7" s="52" customFormat="1" ht="15" thickBot="1" x14ac:dyDescent="0.35">
      <c r="A299" s="56"/>
      <c r="B299" s="56"/>
      <c r="C299" s="156" t="str">
        <f t="shared" si="37"/>
        <v/>
      </c>
      <c r="D299" s="57"/>
      <c r="E299" s="210"/>
      <c r="F299" s="211"/>
      <c r="G299" s="51"/>
    </row>
    <row r="300" spans="1:7" s="52" customFormat="1" ht="15" thickBot="1" x14ac:dyDescent="0.35">
      <c r="A300" s="111" t="s">
        <v>27</v>
      </c>
      <c r="B300" s="84">
        <f>SUM(B292:B299)</f>
        <v>36</v>
      </c>
      <c r="C300" s="111" t="str">
        <f xml:space="preserve"> setValueToTime(B300)</f>
        <v>3h</v>
      </c>
      <c r="D300" s="120"/>
      <c r="E300" s="202"/>
      <c r="F300" s="203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10</v>
      </c>
      <c r="B302" s="164">
        <v>2</v>
      </c>
      <c r="C302" s="164"/>
      <c r="D302" s="82" t="s">
        <v>13</v>
      </c>
      <c r="E302" s="94">
        <v>44685</v>
      </c>
      <c r="F302" s="126" t="s">
        <v>52</v>
      </c>
      <c r="G302" s="46"/>
    </row>
    <row r="303" spans="1:7" s="47" customFormat="1" ht="30" customHeight="1" thickBot="1" x14ac:dyDescent="0.3">
      <c r="A303" s="80" t="s">
        <v>4</v>
      </c>
      <c r="B303" s="151" t="s">
        <v>38</v>
      </c>
      <c r="C303" s="152"/>
      <c r="D303" s="80" t="s">
        <v>11</v>
      </c>
      <c r="E303" s="204" t="s">
        <v>12</v>
      </c>
      <c r="F303" s="205"/>
      <c r="G303" s="46"/>
    </row>
    <row r="304" spans="1:7" s="52" customFormat="1" x14ac:dyDescent="0.3">
      <c r="A304" s="48" t="s">
        <v>73</v>
      </c>
      <c r="B304" s="49">
        <v>18</v>
      </c>
      <c r="C304" s="153" t="str">
        <f xml:space="preserve"> IF(B304="","",setValueToTime(B304))</f>
        <v>1h30min</v>
      </c>
      <c r="D304" s="166" t="s">
        <v>74</v>
      </c>
      <c r="E304" s="206"/>
      <c r="F304" s="207"/>
      <c r="G304" s="51"/>
    </row>
    <row r="305" spans="1:7" s="52" customFormat="1" x14ac:dyDescent="0.3">
      <c r="A305" s="53" t="s">
        <v>44</v>
      </c>
      <c r="B305" s="54">
        <v>10</v>
      </c>
      <c r="C305" s="154" t="str">
        <f t="shared" ref="C305:C311" si="39" xml:space="preserve"> IF(B305="","",setValueToTime(B305))</f>
        <v>0h50min</v>
      </c>
      <c r="D305" s="167" t="s">
        <v>61</v>
      </c>
      <c r="E305" s="208"/>
      <c r="F305" s="209"/>
      <c r="G305" s="51"/>
    </row>
    <row r="306" spans="1:7" s="52" customFormat="1" x14ac:dyDescent="0.3">
      <c r="A306" s="53" t="s">
        <v>14</v>
      </c>
      <c r="B306" s="54">
        <v>12</v>
      </c>
      <c r="C306" s="154" t="str">
        <f t="shared" si="39"/>
        <v>1h</v>
      </c>
      <c r="D306" s="167" t="s">
        <v>63</v>
      </c>
      <c r="E306" s="208"/>
      <c r="F306" s="209"/>
      <c r="G306" s="51"/>
    </row>
    <row r="307" spans="1:7" s="52" customFormat="1" x14ac:dyDescent="0.3">
      <c r="A307" s="53" t="s">
        <v>43</v>
      </c>
      <c r="B307" s="54">
        <v>5</v>
      </c>
      <c r="C307" s="154" t="str">
        <f t="shared" si="39"/>
        <v>0h25min</v>
      </c>
      <c r="D307" s="167" t="s">
        <v>75</v>
      </c>
      <c r="E307" s="208"/>
      <c r="F307" s="209"/>
      <c r="G307" s="51"/>
    </row>
    <row r="308" spans="1:7" s="52" customFormat="1" x14ac:dyDescent="0.3">
      <c r="A308" s="54"/>
      <c r="B308" s="54"/>
      <c r="C308" s="155" t="str">
        <f t="shared" si="39"/>
        <v/>
      </c>
      <c r="D308" s="55"/>
      <c r="E308" s="208"/>
      <c r="F308" s="209"/>
      <c r="G308" s="51"/>
    </row>
    <row r="309" spans="1:7" s="52" customFormat="1" x14ac:dyDescent="0.3">
      <c r="A309" s="54"/>
      <c r="B309" s="54"/>
      <c r="C309" s="155" t="str">
        <f t="shared" si="39"/>
        <v/>
      </c>
      <c r="D309" s="55"/>
      <c r="E309" s="208"/>
      <c r="F309" s="209"/>
      <c r="G309" s="51"/>
    </row>
    <row r="310" spans="1:7" s="52" customFormat="1" x14ac:dyDescent="0.3">
      <c r="A310" s="54"/>
      <c r="B310" s="54"/>
      <c r="C310" s="155" t="str">
        <f t="shared" si="39"/>
        <v/>
      </c>
      <c r="D310" s="55"/>
      <c r="E310" s="208"/>
      <c r="F310" s="209"/>
      <c r="G310" s="51"/>
    </row>
    <row r="311" spans="1:7" s="52" customFormat="1" ht="15" thickBot="1" x14ac:dyDescent="0.35">
      <c r="A311" s="56"/>
      <c r="B311" s="56"/>
      <c r="C311" s="156" t="str">
        <f t="shared" si="39"/>
        <v/>
      </c>
      <c r="D311" s="57"/>
      <c r="E311" s="210"/>
      <c r="F311" s="211"/>
      <c r="G311" s="51"/>
    </row>
    <row r="312" spans="1:7" s="52" customFormat="1" ht="15" thickBot="1" x14ac:dyDescent="0.35">
      <c r="A312" s="111" t="s">
        <v>27</v>
      </c>
      <c r="B312" s="84">
        <f>SUM(B304:B311)</f>
        <v>45</v>
      </c>
      <c r="C312" s="111" t="str">
        <f xml:space="preserve"> setValueToTime(B312)</f>
        <v>3h45min</v>
      </c>
      <c r="D312" s="120"/>
      <c r="E312" s="202"/>
      <c r="F312" s="203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10</v>
      </c>
      <c r="B314" s="164">
        <v>1</v>
      </c>
      <c r="C314" s="164"/>
      <c r="D314" s="82" t="s">
        <v>13</v>
      </c>
      <c r="E314" s="94">
        <v>44683</v>
      </c>
      <c r="F314" s="126" t="s">
        <v>52</v>
      </c>
      <c r="G314" s="46"/>
    </row>
    <row r="315" spans="1:7" s="47" customFormat="1" ht="30" customHeight="1" thickBot="1" x14ac:dyDescent="0.3">
      <c r="A315" s="80" t="s">
        <v>4</v>
      </c>
      <c r="B315" s="151" t="s">
        <v>38</v>
      </c>
      <c r="C315" s="152"/>
      <c r="D315" s="80" t="s">
        <v>11</v>
      </c>
      <c r="E315" s="204" t="s">
        <v>12</v>
      </c>
      <c r="F315" s="205"/>
      <c r="G315" s="46"/>
    </row>
    <row r="316" spans="1:7" s="52" customFormat="1" ht="27" x14ac:dyDescent="0.3">
      <c r="A316" s="48" t="s">
        <v>54</v>
      </c>
      <c r="B316" s="49">
        <v>15</v>
      </c>
      <c r="C316" s="153" t="str">
        <f xml:space="preserve"> IF(B316="","",setValueToTime(B316))</f>
        <v>1h15min</v>
      </c>
      <c r="D316" s="166" t="s">
        <v>56</v>
      </c>
      <c r="E316" s="206"/>
      <c r="F316" s="207"/>
      <c r="G316" s="51"/>
    </row>
    <row r="317" spans="1:7" s="52" customFormat="1" x14ac:dyDescent="0.3">
      <c r="A317" s="53" t="s">
        <v>14</v>
      </c>
      <c r="B317" s="54">
        <v>21</v>
      </c>
      <c r="C317" s="154" t="str">
        <f t="shared" ref="C317:C323" si="40" xml:space="preserve"> IF(B317="","",setValueToTime(B317))</f>
        <v>1h45min</v>
      </c>
      <c r="D317" s="167" t="s">
        <v>57</v>
      </c>
      <c r="E317" s="208"/>
      <c r="F317" s="209"/>
      <c r="G317" s="51"/>
    </row>
    <row r="318" spans="1:7" s="52" customFormat="1" x14ac:dyDescent="0.3">
      <c r="A318" s="53"/>
      <c r="B318" s="54"/>
      <c r="C318" s="154" t="str">
        <f t="shared" si="40"/>
        <v/>
      </c>
      <c r="D318" s="167"/>
      <c r="E318" s="208"/>
      <c r="F318" s="209"/>
      <c r="G318" s="51"/>
    </row>
    <row r="319" spans="1:7" s="52" customFormat="1" x14ac:dyDescent="0.3">
      <c r="A319" s="53"/>
      <c r="B319" s="54"/>
      <c r="C319" s="154" t="str">
        <f t="shared" si="40"/>
        <v/>
      </c>
      <c r="D319" s="55"/>
      <c r="E319" s="208"/>
      <c r="F319" s="209"/>
      <c r="G319" s="51"/>
    </row>
    <row r="320" spans="1:7" s="52" customFormat="1" x14ac:dyDescent="0.3">
      <c r="A320" s="54"/>
      <c r="B320" s="54"/>
      <c r="C320" s="155" t="str">
        <f t="shared" si="40"/>
        <v/>
      </c>
      <c r="D320" s="55"/>
      <c r="E320" s="208"/>
      <c r="F320" s="209"/>
      <c r="G320" s="51"/>
    </row>
    <row r="321" spans="1:7" s="52" customFormat="1" x14ac:dyDescent="0.3">
      <c r="A321" s="54"/>
      <c r="B321" s="54"/>
      <c r="C321" s="155" t="str">
        <f t="shared" si="40"/>
        <v/>
      </c>
      <c r="D321" s="55"/>
      <c r="E321" s="208"/>
      <c r="F321" s="209"/>
      <c r="G321" s="51"/>
    </row>
    <row r="322" spans="1:7" s="52" customFormat="1" x14ac:dyDescent="0.3">
      <c r="A322" s="54"/>
      <c r="B322" s="54"/>
      <c r="C322" s="155" t="str">
        <f t="shared" si="40"/>
        <v/>
      </c>
      <c r="D322" s="55"/>
      <c r="E322" s="208"/>
      <c r="F322" s="209"/>
      <c r="G322" s="51"/>
    </row>
    <row r="323" spans="1:7" s="52" customFormat="1" ht="15" thickBot="1" x14ac:dyDescent="0.35">
      <c r="A323" s="56"/>
      <c r="B323" s="56"/>
      <c r="C323" s="156" t="str">
        <f t="shared" si="40"/>
        <v/>
      </c>
      <c r="D323" s="57"/>
      <c r="E323" s="210"/>
      <c r="F323" s="211"/>
      <c r="G323" s="51"/>
    </row>
    <row r="324" spans="1:7" s="52" customFormat="1" ht="15" thickBot="1" x14ac:dyDescent="0.35">
      <c r="A324" s="111" t="s">
        <v>27</v>
      </c>
      <c r="B324" s="84">
        <f>SUM(B316:B323)</f>
        <v>36</v>
      </c>
      <c r="C324" s="111" t="str">
        <f xml:space="preserve"> setValueToTime(B324)</f>
        <v>3h</v>
      </c>
      <c r="D324" s="120"/>
      <c r="E324" s="202"/>
      <c r="F324" s="203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</mergeCells>
  <phoneticPr fontId="0" type="noConversion"/>
  <conditionalFormatting sqref="B324">
    <cfRule type="cellIs" dxfId="32" priority="36" operator="greaterThan">
      <formula>60</formula>
    </cfRule>
  </conditionalFormatting>
  <conditionalFormatting sqref="B312">
    <cfRule type="cellIs" dxfId="31" priority="35" operator="greaterThan">
      <formula>60</formula>
    </cfRule>
  </conditionalFormatting>
  <conditionalFormatting sqref="B300">
    <cfRule type="cellIs" dxfId="30" priority="34" operator="greaterThan">
      <formula>60</formula>
    </cfRule>
  </conditionalFormatting>
  <conditionalFormatting sqref="B288">
    <cfRule type="cellIs" dxfId="29" priority="33" operator="greaterThan">
      <formula>60</formula>
    </cfRule>
  </conditionalFormatting>
  <conditionalFormatting sqref="B276">
    <cfRule type="cellIs" dxfId="28" priority="32" operator="greaterThan">
      <formula>60</formula>
    </cfRule>
  </conditionalFormatting>
  <conditionalFormatting sqref="B264">
    <cfRule type="cellIs" dxfId="27" priority="31" operator="greaterThan">
      <formula>60</formula>
    </cfRule>
  </conditionalFormatting>
  <conditionalFormatting sqref="B252">
    <cfRule type="cellIs" dxfId="26" priority="30" operator="greaterThan">
      <formula>60</formula>
    </cfRule>
  </conditionalFormatting>
  <conditionalFormatting sqref="B240">
    <cfRule type="cellIs" dxfId="25" priority="29" operator="greaterThan">
      <formula>60</formula>
    </cfRule>
  </conditionalFormatting>
  <conditionalFormatting sqref="B228">
    <cfRule type="cellIs" dxfId="24" priority="28" operator="greaterThan">
      <formula>60</formula>
    </cfRule>
  </conditionalFormatting>
  <conditionalFormatting sqref="B216">
    <cfRule type="cellIs" dxfId="23" priority="27" operator="greaterThan">
      <formula>60</formula>
    </cfRule>
  </conditionalFormatting>
  <conditionalFormatting sqref="B204">
    <cfRule type="cellIs" dxfId="22" priority="26" operator="greaterThan">
      <formula>60</formula>
    </cfRule>
  </conditionalFormatting>
  <conditionalFormatting sqref="B192">
    <cfRule type="cellIs" dxfId="21" priority="25" operator="greaterThan">
      <formula>60</formula>
    </cfRule>
  </conditionalFormatting>
  <conditionalFormatting sqref="B180">
    <cfRule type="cellIs" dxfId="20" priority="24" operator="greaterThan">
      <formula>60</formula>
    </cfRule>
  </conditionalFormatting>
  <conditionalFormatting sqref="B168">
    <cfRule type="cellIs" dxfId="19" priority="23" operator="greaterThan">
      <formula>60</formula>
    </cfRule>
  </conditionalFormatting>
  <conditionalFormatting sqref="B156">
    <cfRule type="cellIs" dxfId="18" priority="22" operator="greaterThan">
      <formula>60</formula>
    </cfRule>
  </conditionalFormatting>
  <conditionalFormatting sqref="B144">
    <cfRule type="cellIs" dxfId="17" priority="21" operator="greaterThan">
      <formula>60</formula>
    </cfRule>
  </conditionalFormatting>
  <conditionalFormatting sqref="B132">
    <cfRule type="cellIs" dxfId="16" priority="20" operator="greaterThan">
      <formula>60</formula>
    </cfRule>
  </conditionalFormatting>
  <conditionalFormatting sqref="B120">
    <cfRule type="cellIs" dxfId="15" priority="19" operator="greaterThan">
      <formula>60</formula>
    </cfRule>
  </conditionalFormatting>
  <conditionalFormatting sqref="B108">
    <cfRule type="cellIs" dxfId="14" priority="18" operator="greaterThan">
      <formula>60</formula>
    </cfRule>
  </conditionalFormatting>
  <conditionalFormatting sqref="B96">
    <cfRule type="cellIs" dxfId="13" priority="17" operator="greaterThan">
      <formula>60</formula>
    </cfRule>
  </conditionalFormatting>
  <conditionalFormatting sqref="B84">
    <cfRule type="cellIs" dxfId="12" priority="16" operator="greaterThan">
      <formula>60</formula>
    </cfRule>
  </conditionalFormatting>
  <conditionalFormatting sqref="B72">
    <cfRule type="cellIs" dxfId="11" priority="15" operator="greaterThan">
      <formula>60</formula>
    </cfRule>
  </conditionalFormatting>
  <conditionalFormatting sqref="B60">
    <cfRule type="cellIs" dxfId="10" priority="14" operator="greaterThan">
      <formula>60</formula>
    </cfRule>
  </conditionalFormatting>
  <conditionalFormatting sqref="B48">
    <cfRule type="cellIs" dxfId="5" priority="9" operator="greaterThan">
      <formula>60</formula>
    </cfRule>
  </conditionalFormatting>
  <conditionalFormatting sqref="B36">
    <cfRule type="cellIs" dxfId="4" priority="8" operator="greaterThan">
      <formula>60</formula>
    </cfRule>
  </conditionalFormatting>
  <conditionalFormatting sqref="B24">
    <cfRule type="cellIs" dxfId="3" priority="7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160:B167 B280:B287 B268:B275 B256:B263 B244:B251 B232:B239 B220:B227 B16:B23 B196:B203 B208:B215 B172:B179 B4:B11 B184:B191 B292:B299 B148:B155 B124:B131 B136:B143 B88:B95 B100:B107 B112:B119 B52:B59 B28:B35 B40:B47 B64:B71 B76:B83">
      <formula1>0</formula1>
    </dataValidation>
    <dataValidation type="list" allowBlank="1" showInputMessage="1" showErrorMessage="1" sqref="A316:A323 A304:A311 A160:A167 A280:A287 A268:A275 A256:A263 A244:A251 A232:A239 A220:A227 A16:A23 A196:A203 A208:A215 A172:A179 A4:A11 A184:A191 A292:A299 A148:A155 A124:A131 A136:A143 A88:A95 A100:A107 A112:A119 A52:A59 A28:A35 A40:A47 A64:A71 A76:A83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D34" sqref="D3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10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32</v>
      </c>
      <c r="F14" s="173"/>
      <c r="G14" s="173"/>
      <c r="H14" s="173"/>
      <c r="I14" s="104"/>
      <c r="J14" s="104"/>
      <c r="K14" s="174" t="s">
        <v>22</v>
      </c>
      <c r="L14" s="174"/>
      <c r="M14" s="174"/>
      <c r="N14" s="174"/>
      <c r="O14" s="129"/>
      <c r="P14" s="129"/>
      <c r="Q14" s="173" t="s">
        <v>33</v>
      </c>
      <c r="R14" s="173"/>
      <c r="S14" s="173"/>
      <c r="T14" s="173"/>
      <c r="U14" s="104"/>
      <c r="V14" s="104"/>
      <c r="W14" s="174" t="s">
        <v>23</v>
      </c>
      <c r="X14" s="174"/>
      <c r="Y14" s="174"/>
      <c r="Z14" s="174"/>
      <c r="AA14" s="129"/>
      <c r="AB14" s="129"/>
      <c r="AC14" s="173" t="s">
        <v>34</v>
      </c>
      <c r="AD14" s="173"/>
      <c r="AE14" s="173"/>
      <c r="AF14" s="173"/>
      <c r="AG14" s="104"/>
      <c r="AH14" s="104"/>
      <c r="AI14" s="174" t="s">
        <v>24</v>
      </c>
      <c r="AJ14" s="174"/>
      <c r="AK14" s="174"/>
      <c r="AL14" s="174"/>
      <c r="AM14" s="129"/>
      <c r="AN14" s="129"/>
      <c r="AO14" s="173" t="s">
        <v>35</v>
      </c>
      <c r="AP14" s="173"/>
      <c r="AQ14" s="173"/>
      <c r="AR14" s="173"/>
      <c r="AS14" s="104"/>
      <c r="AT14" s="104"/>
      <c r="AU14" s="174" t="s">
        <v>25</v>
      </c>
      <c r="AV14" s="174"/>
      <c r="AW14" s="174"/>
      <c r="AX14" s="174"/>
      <c r="AY14" s="129"/>
      <c r="AZ14" s="129"/>
      <c r="BA14" s="173" t="s">
        <v>36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10</v>
      </c>
      <c r="B1" s="164">
        <v>1</v>
      </c>
      <c r="C1" s="164"/>
      <c r="D1" s="82" t="s">
        <v>13</v>
      </c>
      <c r="E1" s="94"/>
      <c r="F1" s="126"/>
      <c r="G1" s="46"/>
    </row>
    <row r="2" spans="1:7" s="47" customFormat="1" ht="30" customHeight="1" thickBot="1" x14ac:dyDescent="0.3">
      <c r="A2" s="80" t="s">
        <v>4</v>
      </c>
      <c r="B2" s="151" t="s">
        <v>38</v>
      </c>
      <c r="C2" s="152"/>
      <c r="D2" s="80" t="s">
        <v>11</v>
      </c>
      <c r="E2" s="204" t="s">
        <v>12</v>
      </c>
      <c r="F2" s="20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11" t="s">
        <v>27</v>
      </c>
      <c r="B11" s="84">
        <f>SUM(B3:B10)</f>
        <v>0</v>
      </c>
      <c r="C11" s="111" t="str">
        <f xml:space="preserve"> setValueToTime(B11)</f>
        <v>0h</v>
      </c>
      <c r="D11" s="120"/>
      <c r="E11" s="202"/>
      <c r="F11" s="20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10</v>
      </c>
      <c r="B1" s="165">
        <v>1</v>
      </c>
      <c r="C1" s="165"/>
      <c r="D1" s="158" t="s">
        <v>13</v>
      </c>
      <c r="E1" s="159"/>
      <c r="F1" s="160"/>
      <c r="G1" s="46"/>
    </row>
    <row r="2" spans="1:7" s="47" customFormat="1" ht="30" customHeight="1" thickBot="1" x14ac:dyDescent="0.3">
      <c r="A2" s="78" t="s">
        <v>4</v>
      </c>
      <c r="B2" s="162" t="s">
        <v>38</v>
      </c>
      <c r="C2" s="161"/>
      <c r="D2" s="78" t="s">
        <v>11</v>
      </c>
      <c r="E2" s="214" t="s">
        <v>12</v>
      </c>
      <c r="F2" s="21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63" t="s">
        <v>27</v>
      </c>
      <c r="B11" s="83">
        <f>SUM(B3:B10)</f>
        <v>0</v>
      </c>
      <c r="C11" s="163" t="str">
        <f xml:space="preserve"> setValueToTime(B11)</f>
        <v>0h</v>
      </c>
      <c r="D11" s="121"/>
      <c r="E11" s="212"/>
      <c r="F11" s="21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Tristan Gerber</dc:creator>
  <cp:lastModifiedBy>Tristan Gerber</cp:lastModifiedBy>
  <cp:lastPrinted>2019-05-08T10:31:53Z</cp:lastPrinted>
  <dcterms:created xsi:type="dcterms:W3CDTF">1996-10-21T11:03:58Z</dcterms:created>
  <dcterms:modified xsi:type="dcterms:W3CDTF">2022-05-04T13:46:21Z</dcterms:modified>
</cp:coreProperties>
</file>