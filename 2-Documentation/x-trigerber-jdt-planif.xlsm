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7" i="12"/>
  <c r="C17" i="12"/>
  <c r="C6" i="12"/>
  <c r="C5" i="12"/>
  <c r="C4" i="12"/>
  <c r="C12" i="12"/>
  <c r="C16" i="12"/>
  <c r="C24" i="12"/>
  <c r="B36" i="12" l="1"/>
  <c r="C35" i="12"/>
  <c r="C34" i="12"/>
  <c r="C33" i="12"/>
  <c r="C32" i="12"/>
  <c r="B48" i="12"/>
  <c r="C47" i="12"/>
  <c r="C46" i="12"/>
  <c r="C45" i="12"/>
  <c r="C44" i="12"/>
  <c r="C43" i="12"/>
  <c r="C42" i="12"/>
  <c r="C41" i="12"/>
  <c r="C31" i="12"/>
  <c r="C30" i="12"/>
  <c r="C29" i="12"/>
  <c r="C28" i="12"/>
  <c r="C40" i="12"/>
  <c r="C36" i="12"/>
  <c r="C48" i="12"/>
  <c r="B60" i="12" l="1"/>
  <c r="C59" i="12"/>
  <c r="C58" i="12"/>
  <c r="C57" i="12"/>
  <c r="C56" i="12"/>
  <c r="C55" i="12"/>
  <c r="C54" i="12"/>
  <c r="C53" i="12"/>
  <c r="C52" i="12"/>
  <c r="C60" i="12"/>
  <c r="B72" i="12" l="1"/>
  <c r="C71" i="12"/>
  <c r="C70" i="12"/>
  <c r="C69" i="12"/>
  <c r="C68" i="12"/>
  <c r="B84" i="12"/>
  <c r="C83" i="12"/>
  <c r="C82" i="12"/>
  <c r="C81" i="12"/>
  <c r="C80" i="12"/>
  <c r="C79" i="12"/>
  <c r="C78" i="12"/>
  <c r="C67" i="12"/>
  <c r="C66" i="12"/>
  <c r="C65" i="12"/>
  <c r="C64" i="12"/>
  <c r="C77" i="12"/>
  <c r="C76" i="12"/>
  <c r="C72" i="12"/>
  <c r="C84" i="12"/>
  <c r="B96" i="12" l="1"/>
  <c r="C95" i="12"/>
  <c r="C94" i="12"/>
  <c r="C93" i="12"/>
  <c r="C92" i="12"/>
  <c r="B108" i="12"/>
  <c r="C107" i="12"/>
  <c r="C106" i="12"/>
  <c r="C105" i="12"/>
  <c r="C104" i="12"/>
  <c r="C103" i="12"/>
  <c r="C102" i="12"/>
  <c r="C91" i="12"/>
  <c r="C90" i="12"/>
  <c r="C89" i="12"/>
  <c r="C88" i="12"/>
  <c r="C101" i="12"/>
  <c r="C100" i="12"/>
  <c r="C96" i="12"/>
  <c r="C108" i="12"/>
  <c r="B120" i="12" l="1"/>
  <c r="C119" i="12"/>
  <c r="C118" i="12"/>
  <c r="C117" i="12"/>
  <c r="C116" i="12"/>
  <c r="B132" i="12"/>
  <c r="C131" i="12"/>
  <c r="C130" i="12"/>
  <c r="C129" i="12"/>
  <c r="C128" i="12"/>
  <c r="C127" i="12"/>
  <c r="C126" i="12"/>
  <c r="D26" i="1"/>
  <c r="C125" i="12"/>
  <c r="C120" i="12"/>
  <c r="C112" i="12"/>
  <c r="C124" i="12"/>
  <c r="C132" i="12"/>
  <c r="C113" i="12"/>
  <c r="C115" i="12"/>
  <c r="C114" i="12"/>
  <c r="B144" i="12" l="1"/>
  <c r="C143" i="12"/>
  <c r="C142" i="12"/>
  <c r="C141" i="12"/>
  <c r="C140" i="12"/>
  <c r="C139" i="12"/>
  <c r="C138" i="12"/>
  <c r="C137" i="12"/>
  <c r="C136" i="12"/>
  <c r="C144" i="12"/>
  <c r="B156" i="12" l="1"/>
  <c r="C155" i="12"/>
  <c r="C154" i="12"/>
  <c r="C153" i="12"/>
  <c r="B168" i="12"/>
  <c r="C167" i="12"/>
  <c r="C166" i="12"/>
  <c r="C165" i="12"/>
  <c r="C164" i="12"/>
  <c r="C163" i="12"/>
  <c r="C162" i="12"/>
  <c r="C160" i="12"/>
  <c r="C156" i="12"/>
  <c r="C152" i="12"/>
  <c r="C151" i="12"/>
  <c r="C148" i="12"/>
  <c r="C161" i="12"/>
  <c r="C168" i="12"/>
  <c r="C150" i="12"/>
  <c r="C149" i="12"/>
  <c r="B180" i="12" l="1"/>
  <c r="C179" i="12"/>
  <c r="C178" i="12"/>
  <c r="C177" i="12"/>
  <c r="C176" i="12"/>
  <c r="B192" i="12"/>
  <c r="C191" i="12"/>
  <c r="C190" i="12"/>
  <c r="C189" i="12"/>
  <c r="C188" i="12"/>
  <c r="C187" i="12"/>
  <c r="C185" i="12"/>
  <c r="C175" i="12"/>
  <c r="C174" i="12"/>
  <c r="C173" i="12"/>
  <c r="C184" i="12"/>
  <c r="C186" i="12"/>
  <c r="C192" i="12"/>
  <c r="C172" i="12"/>
  <c r="C180" i="12"/>
  <c r="B204" i="12" l="1"/>
  <c r="C203" i="12"/>
  <c r="C202" i="12"/>
  <c r="C201" i="12"/>
  <c r="C200" i="12"/>
  <c r="B216" i="12"/>
  <c r="C215" i="12"/>
  <c r="C214" i="12"/>
  <c r="C213" i="12"/>
  <c r="C212" i="12"/>
  <c r="B228" i="12"/>
  <c r="C227" i="12"/>
  <c r="C226" i="12"/>
  <c r="C225" i="12"/>
  <c r="C224" i="12"/>
  <c r="C223" i="12"/>
  <c r="C222"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216" i="12"/>
  <c r="C197" i="12"/>
  <c r="C209" i="12"/>
  <c r="C211" i="12"/>
  <c r="C199" i="12"/>
  <c r="C210" i="12"/>
  <c r="C220" i="12"/>
  <c r="C221" i="12"/>
  <c r="C196" i="12"/>
  <c r="C208" i="12"/>
  <c r="C228" i="12"/>
  <c r="C204" i="12"/>
  <c r="C198"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16" i="1"/>
  <c r="D28" i="1"/>
  <c r="D24" i="1"/>
  <c r="D22" i="1"/>
  <c r="D20" i="1"/>
  <c r="D1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<sst xmlns="http://schemas.openxmlformats.org/spreadsheetml/2006/main" count="1172" uniqueCount="206">
  <si>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</si>
  <si>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</si>
  <si>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</si>
  <si>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</si>
  <si>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</si>
  <si>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</si>
  <si>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</si>
  <si>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</si>
  <si>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</si>
  <si>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</si>
  <si>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</si>
  <si>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</si>
  <si>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</si>
  <si>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</si>
  <si>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</si>
  <si>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</si>
  <si>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</si>
  <si>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</si>
  <si>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</si>
  <si>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</si>
  <si>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</si>
  <si>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</si>
  <si>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</si>
  <si>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</si>
  <si>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</si>
  <si>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</si>
  <si>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</si>
  <si>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</si>
  <si>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</si>
  <si>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</si>
  <si>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</si>
  <si>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</si>
  <si>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</si>
  <si>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</si>
  <si>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</si>
  <si>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</si>
  <si>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</si>
  <si>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</si>
  <si>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</si>
  <si>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</si>
  <si>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</si>
  <si>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</si>
  <si>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</si>
  <si>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</si>
  <si>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</si>
  <si>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</si>
  <si>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</si>
  <si>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</si>
  <si>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</si>
  <si>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</si>
  <si>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</si>
  <si>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</si>
  <si>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</si>
  <si>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</si>
  <si>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</si>
  <si>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</si>
  <si>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</si>
  <si>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</si>
  <si>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</si>
  <si>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</si>
  <si>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</si>
  <si>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</si>
  <si>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</si>
  <si>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</si>
  <si>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</si>
  <si>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</si>
  <si>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</si>
  <si>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</si>
  <si>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</si>
  <si>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</si>
  <si>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</si>
  <si>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</si>
  <si>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</si>
  <si>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</si>
  <si>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</si>
  <si>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</si>
  <si>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</si>
  <si>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</si>
  <si>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</si>
  <si>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</si>
  <si>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</si>
  <si>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</si>
  <si>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</si>
  <si>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</si>
  <si>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</si>
  <si>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</si>
  <si>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</si>
  <si>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</si>
  <si>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</si>
  <si>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</si>
  <si>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</si>
  <si>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</si>
  <si>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</si>
  <si>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</si>
  <si>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</si>
  <si>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</si>
  <si>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</si>
  <si>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</si>
  <si>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</si>
  <si>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</si>
  <si>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</si>
  <si>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</si>
  <si>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</si>
  <si>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</si>
  <si>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</si>
  <si>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</si>
  <si>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</si>
  <si>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</si>
  <si>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</si>
  <si>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</si>
  <si>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</si>
  <si>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</si>
  <si>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</si>
  <si>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</si>
  <si>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</si>
  <si>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</si>
  <si>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</si>
  <si>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</si>
  <si>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</si>
  <si>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</si>
  <si>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</si>
  <si>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</si>
  <si>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</si>
  <si>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</si>
  <si>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</si>
  <si>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</si>
  <si>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</si>
  <si>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</si>
  <si>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</si>
  <si>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</si>
  <si>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</si>
  <si>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</si>
  <si>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</si>
  <si>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</si>
  <si>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</si>
  <si>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</si>
  <si>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</si>
  <si>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</si>
  <si>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</si>
  <si>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</si>
  <si>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</si>
  <si>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</si>
  <si>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</si>
  <si>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</si>
  <si>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</si>
  <si>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</si>
  <si>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</si>
  <si>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</si>
  <si>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</si>
  <si>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</si>
  <si>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</si>
  <si>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</si>
  <si>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</si>
  <si>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</si>
  <si>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</si>
  <si>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</si>
  <si>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</si>
  <si>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</si>
  <si>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</si>
  <si>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</si>
  <si>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</si>
  <si>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</si>
  <si>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</si>
  <si>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</si>
  <si>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</si>
  <si>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</si>
  <si>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</si>
  <si>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</si>
  <si>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</si>
  <si>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31h25min</t>
  </si>
  <si>
    <t>- 57h55min</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</si>
  <si>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</si>
  <si>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</si>
  <si>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</si>
  <si>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</si>
  <si>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</si>
  <si>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</si>
  <si>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</si>
  <si>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</si>
  <si>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</si>
  <si>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</si>
  <si>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</si>
  <si>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</si>
  <si>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</si>
  <si>
    <t>Entretien avec M. Wenger, un de mes deux experts pour la seconde visite</t>
  </si>
  <si>
    <t>https://social.msdn.microsoft.com/Forums/en-US/47077ec2-6fea-479d-8737-7dfe809f7da5/how-to-create-a-custom-layout-of-toolbar-with-xamarin-forms</t>
  </si>
  <si>
    <t>https://stackoverflow.com/questions/38988108/how-to-add-picker-in-toolbar-in-xamarin-forms</t>
  </si>
  <si>
    <t>Après confirmation, il est impossible d'ajouter un picker dans le menu du haut en Xamarin. Il faut donc revoir comment l'application fonctionnera. Au lieu d'une liste déroulante de catégories, il y aura un bouton de filtre dans le menu ouvrant un pop-up, menu des catégories, dans lequel on peut choisir la catégorie à afficher et ajouter, supprimer ou modifier des catégories. Début de création de la page.</t>
  </si>
  <si>
    <t>https://www.c-sharpcorner.com/article/populate-picker-using-mvvm/</t>
  </si>
  <si>
    <t>Insertion de catégories dans la base de données, implémentation du menu de catégories et des pickers servant à sélectionner les catégories. C'était assez compliqué car je travaille en MVVM, donc pour remplir le Picker, qu'on remplit normalement avec des Picker.Items.Add, je dois utiliser des Bindings avec le ViewModel. J'ai mis longtemps à comprendre que le système de Binding était orienté objet, ou quelque chose de similaire. On peut donc faire une commande de la sorte : {Binding SelectedCategory.Name}.</t>
  </si>
  <si>
    <t>Catégories nouvelle table, tache terminée vs active, confirmation suppr.</t>
  </si>
  <si>
    <t>Rédaction du journal de travail journalier</t>
  </si>
  <si>
    <t>Menu des tâches - Étant affichée en tant que Pop-up, la liste des catégories ne fonctionne pas de la même manière que la liste des tâches. À l'ouverture, rien ne s'affiche. Expérimentations avec xaml (alternatives à la RefreshView, ajout de stacklayout et autres composants afin de trouver ce qui ne va pas)</t>
  </si>
  <si>
    <t>https://docs.microsoft.com/en-us/xamarin/xamarin-forms/user-interface/refreshview</t>
  </si>
  <si>
    <t>https://stackoverflow.com/questions/56239550/xamarin-forms-default-value-for-picker</t>
  </si>
  <si>
    <t>https://codemilltech.com/xamarin-forms-bindable-picker/#:~:text=The%20ItemDisplayBinding%20property%20is%20of%20a%20BindingBase%20type%2C,determines%20what%20actually%20gets%20displayed%20within%20the%20Picker.</t>
  </si>
  <si>
    <t>https://github.com/SyncfusionExamples/rgplugin-popup-listview-xamarin</t>
  </si>
  <si>
    <t>https://www.syncfusion.com/kb/11353/how-to-show-xamarin-forms-listview-sflistview-in-popup-using-rg-plugin-popup-framework</t>
  </si>
  <si>
    <t>https://help.syncfusion.com/xamarin/listview/loadmore#:~:text=SfListView.LoadMoreCommand%20executes%20when%20the%20listview%20is%20empty.%20This,is%20the%20default%20behavior%20of%20Manual%20and%20Auto.</t>
  </si>
  <si>
    <t>https://help.syncfusion.com/xamarin/listview/getting-started</t>
  </si>
  <si>
    <t>Utilisation et implémentation d'une alternative de liste fonctionnant apparemment avec les pop-ups : SfListView de Syncfusion. Après avoir suivi les étapes, le pop-up n'affiche toujours rien. Au démarrage de l'application, un message notifie que j'utilise une version d'essai de Syncfusion et qu'il faut une lisence pour ne pas avoir ce message. J'abandonne donc l'idée de syncfusion. Débuggage du programme : Lors de l'appui sur le bouton des catégories, il y a bien une connexion avec le ViewModel ; le constructeur s'exécute, mais jamais la commande de chargement des catégories n'est exécutée. Le problème est finalement résolu : Un bout de code que je croyais inutile (base.OnAppearing et _viewModel.OnAppearing --&gt; IsBusy = true) était en fait indispensable à cette liste. Il ne l'était pas aux autres pop-ups. Transformation de toutes les listes en ObservableCollection, afin d'avoir ces listes constamment à jour quand modifiées. Essai de le faire directement dans le service "Database", mais un problème survient, vite réglé : Les ObservableCollection ne supportent pas l'async.</t>
  </si>
  <si>
    <t>Mise en page des pop-ups et des catégories, des boutons sur la liste des catégories</t>
  </si>
  <si>
    <t>Implémentation de la supression et de l'ajout de catégories et des connexions entre les views et les viewmodels (p.ex passer un paramètre via une commande), rien ne s'affichait par défaut en ouvrant le menu d'une tâche, il était connecté au mauvais ViewModel. Toujours un problème pour afficher le nom de la catégorie choisie dans le picker par défaut</t>
  </si>
  <si>
    <t>https://stackoverflow.com/questions/16432450/convert-a-listt-into-an-observablecollectiont</t>
  </si>
  <si>
    <t>https://stackoverflow.com/questions/60472467/how-to-show-picker-choose-before-button-command-in-mvvm-xamarin</t>
  </si>
  <si>
    <t>Modifications de l'interface allant avec le code. Réutilisation du design de popup trouvé sur le premier lien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</si>
</sst>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1.5</c:v>
              </c:pt>
              <c:pt idx="3">
                <c:v>6.3299999237060547</c:v>
              </c:pt>
              <c:pt idx="4">
                <c:v>2.0799999237060547</c:v>
              </c:pt>
              <c:pt idx="5">
                <c:v>2.3299999237060547</c:v>
              </c:pt>
              <c:pt idx="6">
                <c:v>0.82999998331069946</c:v>
              </c:pt>
              <c:pt idx="7">
                <c:v>1.5</c:v>
              </c:pt>
              <c:pt idx="8">
                <c:v>0</c:v>
              </c:pt>
              <c:pt idx="9">
                <c:v>0</c:v>
              </c:pt>
              <c:pt idx="10">
                <c:v>0</c:v>
              </c:pt>
              <c:pt idx="11">
                <c:v>10.420000076293945</c:v>
              </c:pt>
              <c:pt idx="12">
                <c:v>0</c:v>
              </c:pt>
              <c:pt idx="13">
                <c:v>0.25</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hyperlink" Target="https://stackoverflow.com/questions/38988108/how-to-add-picker-in-toolbar-in-xamarin-forms" TargetMode="External"/><Relationship Id="rId26" Type="http://schemas.openxmlformats.org/officeDocument/2006/relationships/hyperlink" Target="https://help.syncfusion.com/xamarin/listview/getting-started" TargetMode="External"/><Relationship Id="rId3" Type="http://schemas.openxmlformats.org/officeDocument/2006/relationships/hyperlink" Target="https://stackoverflow.com/questions/39384263/adding-a-button-to-the-title-bar-xamarin-forms" TargetMode="External"/><Relationship Id="rId21" Type="http://schemas.openxmlformats.org/officeDocument/2006/relationships/hyperlink" Target="https://stackoverflow.com/questions/56239550/xamarin-forms-default-value-for-picker" TargetMode="External"/><Relationship Id="rId34" Type="http://schemas.openxmlformats.org/officeDocument/2006/relationships/image" Target="../media/image5.emf"/><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hyperlink" Target="https://social.msdn.microsoft.com/Forums/en-US/47077ec2-6fea-479d-8737-7dfe809f7da5/how-to-create-a-custom-layout-of-toolbar-with-xamarin-forms" TargetMode="External"/><Relationship Id="rId25" Type="http://schemas.openxmlformats.org/officeDocument/2006/relationships/hyperlink" Target="https://help.syncfusion.com/xamarin/listview/loadmore" TargetMode="External"/><Relationship Id="rId33" Type="http://schemas.openxmlformats.org/officeDocument/2006/relationships/control" Target="../activeX/activeX4.xml"/><Relationship Id="rId2" Type="http://schemas.openxmlformats.org/officeDocument/2006/relationships/hyperlink" Target="https://docs.microsoft.com/en-us/xamarin/get-started/quickstarts/database?pivots=windows" TargetMode="External"/><Relationship Id="rId16" Type="http://schemas.openxmlformats.org/officeDocument/2006/relationships/hyperlink" Target="https://www.c-sharpcorner.com/article/toolbar-item-in-xamarin-cross-platform-with-toolbar-order-example/" TargetMode="External"/><Relationship Id="rId20" Type="http://schemas.openxmlformats.org/officeDocument/2006/relationships/hyperlink" Target="https://docs.microsoft.com/en-us/xamarin/xamarin-forms/user-interface/refreshview" TargetMode="External"/><Relationship Id="rId29" Type="http://schemas.openxmlformats.org/officeDocument/2006/relationships/hyperlink" Target="https://stackoverflow.com/questions/60472467/how-to-show-picker-choose-before-button-command-in-mvvm-xamarin" TargetMode="External"/><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24" Type="http://schemas.openxmlformats.org/officeDocument/2006/relationships/hyperlink" Target="https://www.syncfusion.com/kb/11353/how-to-show-xamarin-forms-listview-sflistview-in-popup-using-rg-plugin-popup-framework" TargetMode="External"/><Relationship Id="rId32" Type="http://schemas.openxmlformats.org/officeDocument/2006/relationships/vmlDrawing" Target="../drawings/vmlDrawing3.vml"/><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23" Type="http://schemas.openxmlformats.org/officeDocument/2006/relationships/hyperlink" Target="https://github.com/SyncfusionExamples/rgplugin-popup-listview-xamarin" TargetMode="External"/><Relationship Id="rId28" Type="http://schemas.openxmlformats.org/officeDocument/2006/relationships/hyperlink" Target="https://docs.microsoft.com/en-us/xamarin/xamarin-forms/user-interface/refreshview" TargetMode="External"/><Relationship Id="rId36" Type="http://schemas.openxmlformats.org/officeDocument/2006/relationships/image" Target="../media/image6.emf"/><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hyperlink" Target="https://www.c-sharpcorner.com/article/populate-picker-using-mvvm/" TargetMode="External"/><Relationship Id="rId31" Type="http://schemas.openxmlformats.org/officeDocument/2006/relationships/drawing" Target="../drawings/drawing4.xml"/><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hyperlink" Target="https://codemilltech.com/xamarin-forms-bindable-picker/" TargetMode="External"/><Relationship Id="rId27" Type="http://schemas.openxmlformats.org/officeDocument/2006/relationships/hyperlink" Target="https://stackoverflow.com/questions/16432450/convert-a-listt-into-an-observablecollectiont" TargetMode="External"/><Relationship Id="rId30" Type="http://schemas.openxmlformats.org/officeDocument/2006/relationships/printerSettings" Target="../printerSettings/printerSettings4.bin"/><Relationship Id="rId35"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169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170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0"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1" t="s">
        <v>29</v>
      </c>
      <c r="D1" s="221"/>
      <c r="E1" s="22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2"/>
      <c r="D7" s="222"/>
      <c r="E7" s="22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31h25min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90"/>
    </row>
    <row r="11" spans="1:1626" ht="20.100000000000001" customHeight="1" x14ac:dyDescent="0.25">
      <c r="B11" s="96"/>
      <c r="C11" s="219"/>
      <c r="D11" s="219"/>
      <c r="E11" s="219"/>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2" t="s">
        <v>132</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130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130</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127</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127</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125</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122</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122</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119</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119</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116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116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114</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111</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111</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108</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105</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105</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103</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100</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100</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99</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98</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98</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0"/>
      <c r="D12" s="220"/>
      <c r="E12" s="220"/>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13" t="s">
        <v>50</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49</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50</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49</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50</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49</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49</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50</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49</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50</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49</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50</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49</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49</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50</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49</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50</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49</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50</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49</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49</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50</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49</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49</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50</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23" t="s">
        <v>6</v>
      </c>
      <c r="D13" s="144"/>
      <c r="E13" s="225" t="s">
        <v>37</v>
      </c>
      <c r="F13" s="195" t="s">
        <v>7</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26</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17</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131</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129</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128</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126</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124</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123</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121</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120</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118</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117</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115</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113</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112</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110</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109</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107</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106</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104</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102</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101</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137</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136</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135</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134</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90"/>
    </row>
    <row r="14" spans="1:1626" ht="12.75" customHeight="1" thickBot="1" x14ac:dyDescent="0.35">
      <c r="B14" s="96"/>
      <c r="C14" s="224"/>
      <c r="D14" s="145"/>
      <c r="E14" s="226"/>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90"/>
    </row>
    <row r="15" spans="1:1626" ht="20.100000000000001" customHeight="1" x14ac:dyDescent="0.25">
      <c r="A15" s="100" t="s">
        <v>18</v>
      </c>
      <c r="B15" s="63" t="str">
        <f>IF(LEN(C15)=0,"",C15)</f>
        <v xml:space="preserve">Absences - Imprévus </v>
      </c>
      <c r="C15" s="204"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4"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5"/>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4"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6"/>
      <c r="D20" s="147" t="str">
        <f t="shared" si="0"/>
        <v>1h30min</v>
      </c>
      <c r="E20" s="27">
        <v>18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4"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6"/>
      <c r="D22" s="147" t="str">
        <f t="shared" si="0"/>
        <v>6h20min</v>
      </c>
      <c r="E22" s="35">
        <v>76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4"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6"/>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4"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5"/>
      <c r="D26" s="148" t="str">
        <f t="shared" si="0"/>
        <v>2h20min</v>
      </c>
      <c r="E26" s="35">
        <v>28</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4"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5"/>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4"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5"/>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4"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4"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4"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4"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5"/>
      <c r="D38" s="148" t="str">
        <f t="shared" si="0"/>
        <v>10h25min</v>
      </c>
      <c r="E38" s="35">
        <v>125</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4"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4"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5"/>
      <c r="D42" s="148" t="str">
        <f t="shared" si="0"/>
        <v>0h15min</v>
      </c>
      <c r="E42" s="35">
        <v>3</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4"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4"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6"/>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0" t="s">
        <v>8</v>
      </c>
      <c r="D95" s="201"/>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2"/>
      <c r="D96" s="203"/>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07" t="s">
        <v>9</v>
      </c>
      <c r="D97" s="208"/>
      <c r="E97" s="118">
        <f>SUM(E16,E18,E20,E22,E24,E26,E28,E30,E32,E34,E36,E38,E40,E42,E44,E46,E48,E50,E52,E54,E56,E58,E60,E62,E64,E66,E68,E70,E72,E74,E76,E78,E80,E82,E84,E86,E88,E90,E92,E94)</f>
        <v>377</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09"/>
      <c r="D98" s="210"/>
      <c r="E98" s="122" t="str">
        <f xml:space="preserve"> setValueToTime(E97)</f>
        <v>31h25min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310"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7" t="s">
        <v>12</v>
      </c>
      <c r="F3" s="228"/>
      <c r="G3" s="46"/>
    </row>
    <row r="4" spans="1:7" s="52" customFormat="1" x14ac:dyDescent="0.3">
      <c r="A4" s="53" t="s">
        <v>15</v>
      </c>
      <c r="B4" s="54">
        <v>4</v>
      </c>
      <c r="C4" s="153" t="str">
        <f t="shared" ref="C4:C5" si="0" xml:space="preserve"> IF(B4="","",setValueToTime(B4))</f>
        <v>0h20min</v>
      </c>
      <c r="D4" s="166" t="s">
        <v>63</v>
      </c>
      <c r="E4" s="229"/>
      <c r="F4" s="230"/>
      <c r="G4" s="51"/>
    </row>
    <row r="5" spans="1:7" s="52" customFormat="1" x14ac:dyDescent="0.3">
      <c r="A5" s="53" t="s">
        <v>44</v>
      </c>
      <c r="B5" s="54">
        <v>1</v>
      </c>
      <c r="C5" s="153" t="str">
        <f t="shared" si="0"/>
        <v>0h5min</v>
      </c>
      <c r="D5" s="166" t="s">
        <v>77</v>
      </c>
      <c r="E5" s="231"/>
      <c r="F5" s="232"/>
      <c r="G5" s="51"/>
    </row>
    <row r="6" spans="1:7" s="52" customFormat="1" x14ac:dyDescent="0.3">
      <c r="A6" s="53" t="s">
        <v>96</v>
      </c>
      <c r="B6" s="54">
        <v>27</v>
      </c>
      <c r="C6" s="153" t="str">
        <f t="shared" ref="C6:C11" si="1" xml:space="preserve"> IF(B6="","",setValueToTime(B6))</f>
        <v>2h15min</v>
      </c>
      <c r="D6" s="166" t="s">
        <v>97</v>
      </c>
      <c r="E6" s="231"/>
      <c r="F6" s="232"/>
      <c r="G6" s="51"/>
    </row>
    <row r="7" spans="1:7" s="52" customFormat="1" ht="27" x14ac:dyDescent="0.3">
      <c r="A7" s="53" t="s">
        <v>51</v>
      </c>
      <c r="B7" s="54">
        <v>4</v>
      </c>
      <c r="C7" s="153" t="str">
        <f t="shared" si="1"/>
        <v>0h20min</v>
      </c>
      <c r="D7" s="166" t="s">
        <v>76</v>
      </c>
      <c r="E7" s="231"/>
      <c r="F7" s="232"/>
      <c r="G7" s="51"/>
    </row>
    <row r="8" spans="1:7" s="52" customFormat="1" x14ac:dyDescent="0.3">
      <c r="A8" s="54"/>
      <c r="B8" s="54"/>
      <c r="C8" s="154" t="str">
        <f t="shared" si="1"/>
        <v/>
      </c>
      <c r="D8" s="55"/>
      <c r="E8" s="231"/>
      <c r="F8" s="232"/>
      <c r="G8" s="51"/>
    </row>
    <row r="9" spans="1:7" s="52" customFormat="1" x14ac:dyDescent="0.3">
      <c r="A9" s="54"/>
      <c r="B9" s="54"/>
      <c r="C9" s="154" t="str">
        <f t="shared" si="1"/>
        <v/>
      </c>
      <c r="D9" s="55"/>
      <c r="E9" s="231"/>
      <c r="F9" s="232"/>
      <c r="G9" s="51"/>
    </row>
    <row r="10" spans="1:7" s="52" customFormat="1" x14ac:dyDescent="0.3">
      <c r="A10" s="54"/>
      <c r="B10" s="54"/>
      <c r="C10" s="154" t="str">
        <f t="shared" si="1"/>
        <v/>
      </c>
      <c r="D10" s="55"/>
      <c r="E10" s="231"/>
      <c r="F10" s="232"/>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7" t="s">
        <v>12</v>
      </c>
      <c r="F15" s="228"/>
      <c r="G15" s="46"/>
    </row>
    <row r="16" spans="1:7" s="52" customFormat="1" x14ac:dyDescent="0.3">
      <c r="A16" s="48" t="s">
        <v>96</v>
      </c>
      <c r="B16" s="49">
        <v>45</v>
      </c>
      <c r="C16" s="152" t="str">
        <f xml:space="preserve"> IF(B16="","",setValueToTime(B16))</f>
        <v>3h45min</v>
      </c>
      <c r="D16" s="165" t="s">
        <v>97</v>
      </c>
      <c r="E16" s="229"/>
      <c r="F16" s="230"/>
      <c r="G16" s="51"/>
    </row>
    <row r="17" spans="1:7" s="52" customFormat="1" x14ac:dyDescent="0.3">
      <c r="A17" s="53"/>
      <c r="B17" s="54"/>
      <c r="C17" s="153" t="str">
        <f t="shared" ref="C17:C23" si="2" xml:space="preserve"> IF(B17="","",setValueToTime(B17))</f>
        <v/>
      </c>
      <c r="D17" s="55"/>
      <c r="E17" s="231"/>
      <c r="F17" s="232"/>
      <c r="G17" s="51"/>
    </row>
    <row r="18" spans="1:7" s="52" customFormat="1" x14ac:dyDescent="0.3">
      <c r="A18" s="53"/>
      <c r="B18" s="54"/>
      <c r="C18" s="153" t="str">
        <f t="shared" si="2"/>
        <v/>
      </c>
      <c r="D18" s="55"/>
      <c r="E18" s="231"/>
      <c r="F18" s="232"/>
      <c r="G18" s="51"/>
    </row>
    <row r="19" spans="1:7" s="52" customFormat="1" x14ac:dyDescent="0.3">
      <c r="A19" s="53"/>
      <c r="B19" s="54"/>
      <c r="C19" s="153" t="str">
        <f t="shared" si="2"/>
        <v/>
      </c>
      <c r="D19" s="55"/>
      <c r="E19" s="231"/>
      <c r="F19" s="232"/>
      <c r="G19" s="51"/>
    </row>
    <row r="20" spans="1:7" s="52" customFormat="1" x14ac:dyDescent="0.3">
      <c r="A20" s="54"/>
      <c r="B20" s="54"/>
      <c r="C20" s="154" t="str">
        <f t="shared" si="2"/>
        <v/>
      </c>
      <c r="D20" s="55"/>
      <c r="E20" s="231"/>
      <c r="F20" s="232"/>
      <c r="G20" s="51"/>
    </row>
    <row r="21" spans="1:7" s="52" customFormat="1" x14ac:dyDescent="0.3">
      <c r="A21" s="54"/>
      <c r="B21" s="54"/>
      <c r="C21" s="154" t="str">
        <f t="shared" si="2"/>
        <v/>
      </c>
      <c r="D21" s="55"/>
      <c r="E21" s="231"/>
      <c r="F21" s="232"/>
      <c r="G21" s="51"/>
    </row>
    <row r="22" spans="1:7" s="52" customFormat="1" x14ac:dyDescent="0.3">
      <c r="A22" s="54"/>
      <c r="B22" s="54"/>
      <c r="C22" s="154" t="str">
        <f t="shared" si="2"/>
        <v/>
      </c>
      <c r="D22" s="55"/>
      <c r="E22" s="231"/>
      <c r="F22" s="232"/>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7" t="s">
        <v>12</v>
      </c>
      <c r="F27" s="228"/>
      <c r="G27" s="46"/>
    </row>
    <row r="28" spans="1:7" s="52" customFormat="1" x14ac:dyDescent="0.3">
      <c r="A28" s="53" t="s">
        <v>15</v>
      </c>
      <c r="B28" s="54">
        <v>2</v>
      </c>
      <c r="C28" s="153" t="str">
        <f t="shared" ref="C28:C29" si="3" xml:space="preserve"> IF(B28="","",setValueToTime(B28))</f>
        <v>0h10min</v>
      </c>
      <c r="D28" s="166" t="s">
        <v>63</v>
      </c>
      <c r="E28" s="229"/>
      <c r="F28" s="230"/>
      <c r="G28" s="51"/>
    </row>
    <row r="29" spans="1:7" s="52" customFormat="1" x14ac:dyDescent="0.3">
      <c r="A29" s="53" t="s">
        <v>44</v>
      </c>
      <c r="B29" s="54">
        <v>1</v>
      </c>
      <c r="C29" s="153" t="str">
        <f t="shared" si="3"/>
        <v>0h5min</v>
      </c>
      <c r="D29" s="166" t="s">
        <v>77</v>
      </c>
      <c r="E29" s="231"/>
      <c r="F29" s="232"/>
      <c r="G29" s="51"/>
    </row>
    <row r="30" spans="1:7" s="52" customFormat="1" x14ac:dyDescent="0.3">
      <c r="A30" s="53" t="s">
        <v>14</v>
      </c>
      <c r="B30" s="54">
        <v>33</v>
      </c>
      <c r="C30" s="153" t="str">
        <f t="shared" ref="C30:C35" si="4" xml:space="preserve"> IF(B30="","",setValueToTime(B30))</f>
        <v>2h45min</v>
      </c>
      <c r="D30" s="166" t="s">
        <v>95</v>
      </c>
      <c r="E30" s="231"/>
      <c r="F30" s="232"/>
      <c r="G30" s="51"/>
    </row>
    <row r="31" spans="1:7" s="52" customFormat="1" x14ac:dyDescent="0.3">
      <c r="A31" s="53"/>
      <c r="B31" s="54"/>
      <c r="C31" s="153" t="str">
        <f t="shared" si="4"/>
        <v/>
      </c>
      <c r="D31" s="55"/>
      <c r="E31" s="231"/>
      <c r="F31" s="232"/>
      <c r="G31" s="51"/>
    </row>
    <row r="32" spans="1:7" s="52" customFormat="1" x14ac:dyDescent="0.3">
      <c r="A32" s="54"/>
      <c r="B32" s="54"/>
      <c r="C32" s="154" t="str">
        <f t="shared" si="4"/>
        <v/>
      </c>
      <c r="D32" s="55"/>
      <c r="E32" s="231"/>
      <c r="F32" s="232"/>
      <c r="G32" s="51"/>
    </row>
    <row r="33" spans="1:7" s="52" customFormat="1" x14ac:dyDescent="0.3">
      <c r="A33" s="54"/>
      <c r="B33" s="54"/>
      <c r="C33" s="154" t="str">
        <f t="shared" si="4"/>
        <v/>
      </c>
      <c r="D33" s="55"/>
      <c r="E33" s="231"/>
      <c r="F33" s="232"/>
      <c r="G33" s="51"/>
    </row>
    <row r="34" spans="1:7" s="52" customFormat="1" x14ac:dyDescent="0.3">
      <c r="A34" s="54"/>
      <c r="B34" s="54"/>
      <c r="C34" s="154" t="str">
        <f t="shared" si="4"/>
        <v/>
      </c>
      <c r="D34" s="55"/>
      <c r="E34" s="231"/>
      <c r="F34" s="232"/>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7" t="s">
        <v>12</v>
      </c>
      <c r="F39" s="228"/>
      <c r="G39" s="46"/>
    </row>
    <row r="40" spans="1:7" s="52" customFormat="1" x14ac:dyDescent="0.3">
      <c r="A40" s="53" t="s">
        <v>15</v>
      </c>
      <c r="B40" s="54">
        <v>4</v>
      </c>
      <c r="C40" s="153" t="str">
        <f t="shared" ref="C40:C41" si="5" xml:space="preserve"> IF(B40="","",setValueToTime(B40))</f>
        <v>0h20min</v>
      </c>
      <c r="D40" s="166" t="s">
        <v>63</v>
      </c>
      <c r="E40" s="229"/>
      <c r="F40" s="230"/>
      <c r="G40" s="51"/>
    </row>
    <row r="41" spans="1:7" s="52" customFormat="1" x14ac:dyDescent="0.3">
      <c r="A41" s="53" t="s">
        <v>44</v>
      </c>
      <c r="B41" s="54">
        <v>1</v>
      </c>
      <c r="C41" s="153" t="str">
        <f t="shared" si="5"/>
        <v>0h5min</v>
      </c>
      <c r="D41" s="166" t="s">
        <v>77</v>
      </c>
      <c r="E41" s="231"/>
      <c r="F41" s="232"/>
      <c r="G41" s="51"/>
    </row>
    <row r="42" spans="1:7" s="52" customFormat="1" x14ac:dyDescent="0.3">
      <c r="A42" s="53" t="s">
        <v>14</v>
      </c>
      <c r="B42" s="54">
        <v>36</v>
      </c>
      <c r="C42" s="153" t="str">
        <f t="shared" ref="C42:C47" si="6" xml:space="preserve"> IF(B42="","",setValueToTime(B42))</f>
        <v>3h</v>
      </c>
      <c r="D42" s="166" t="s">
        <v>95</v>
      </c>
      <c r="E42" s="231"/>
      <c r="F42" s="232"/>
      <c r="G42" s="51"/>
    </row>
    <row r="43" spans="1:7" s="52" customFormat="1" ht="27" x14ac:dyDescent="0.3">
      <c r="A43" s="53" t="s">
        <v>51</v>
      </c>
      <c r="B43" s="54">
        <v>4</v>
      </c>
      <c r="C43" s="153" t="str">
        <f t="shared" si="6"/>
        <v>0h20min</v>
      </c>
      <c r="D43" s="166" t="s">
        <v>76</v>
      </c>
      <c r="E43" s="231"/>
      <c r="F43" s="232"/>
      <c r="G43" s="51"/>
    </row>
    <row r="44" spans="1:7" s="52" customFormat="1" x14ac:dyDescent="0.3">
      <c r="A44" s="54"/>
      <c r="B44" s="54"/>
      <c r="C44" s="154" t="str">
        <f t="shared" si="6"/>
        <v/>
      </c>
      <c r="D44" s="55"/>
      <c r="E44" s="231"/>
      <c r="F44" s="232"/>
      <c r="G44" s="51"/>
    </row>
    <row r="45" spans="1:7" s="52" customFormat="1" x14ac:dyDescent="0.3">
      <c r="A45" s="54"/>
      <c r="B45" s="54"/>
      <c r="C45" s="154" t="str">
        <f t="shared" si="6"/>
        <v/>
      </c>
      <c r="D45" s="55"/>
      <c r="E45" s="231"/>
      <c r="F45" s="232"/>
      <c r="G45" s="51"/>
    </row>
    <row r="46" spans="1:7" s="52" customFormat="1" x14ac:dyDescent="0.3">
      <c r="A46" s="54"/>
      <c r="B46" s="54"/>
      <c r="C46" s="154" t="str">
        <f t="shared" si="6"/>
        <v/>
      </c>
      <c r="D46" s="55"/>
      <c r="E46" s="231"/>
      <c r="F46" s="232"/>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7" t="s">
        <v>12</v>
      </c>
      <c r="F51" s="228"/>
      <c r="G51" s="46"/>
    </row>
    <row r="52" spans="1:7" s="52" customFormat="1" x14ac:dyDescent="0.3">
      <c r="A52" s="48" t="s">
        <v>14</v>
      </c>
      <c r="B52" s="49">
        <v>45</v>
      </c>
      <c r="C52" s="152" t="str">
        <f xml:space="preserve"> IF(B52="","",setValueToTime(B52))</f>
        <v>3h45min</v>
      </c>
      <c r="D52" s="165" t="s">
        <v>95</v>
      </c>
      <c r="E52" s="229"/>
      <c r="F52" s="230"/>
      <c r="G52" s="51"/>
    </row>
    <row r="53" spans="1:7" s="52" customFormat="1" x14ac:dyDescent="0.3">
      <c r="A53" s="53"/>
      <c r="B53" s="54"/>
      <c r="C53" s="153" t="str">
        <f t="shared" ref="C53:C59" si="7" xml:space="preserve"> IF(B53="","",setValueToTime(B53))</f>
        <v/>
      </c>
      <c r="D53" s="55"/>
      <c r="E53" s="231"/>
      <c r="F53" s="232"/>
      <c r="G53" s="51"/>
    </row>
    <row r="54" spans="1:7" s="52" customFormat="1" x14ac:dyDescent="0.3">
      <c r="A54" s="53"/>
      <c r="B54" s="54"/>
      <c r="C54" s="153" t="str">
        <f t="shared" si="7"/>
        <v/>
      </c>
      <c r="D54" s="55"/>
      <c r="E54" s="231"/>
      <c r="F54" s="232"/>
      <c r="G54" s="51"/>
    </row>
    <row r="55" spans="1:7" s="52" customFormat="1" x14ac:dyDescent="0.3">
      <c r="A55" s="53"/>
      <c r="B55" s="54"/>
      <c r="C55" s="153" t="str">
        <f t="shared" si="7"/>
        <v/>
      </c>
      <c r="D55" s="55"/>
      <c r="E55" s="231"/>
      <c r="F55" s="232"/>
      <c r="G55" s="51"/>
    </row>
    <row r="56" spans="1:7" s="52" customFormat="1" x14ac:dyDescent="0.3">
      <c r="A56" s="54"/>
      <c r="B56" s="54"/>
      <c r="C56" s="154" t="str">
        <f t="shared" si="7"/>
        <v/>
      </c>
      <c r="D56" s="55"/>
      <c r="E56" s="231"/>
      <c r="F56" s="232"/>
      <c r="G56" s="51"/>
    </row>
    <row r="57" spans="1:7" s="52" customFormat="1" x14ac:dyDescent="0.3">
      <c r="A57" s="54"/>
      <c r="B57" s="54"/>
      <c r="C57" s="154" t="str">
        <f t="shared" si="7"/>
        <v/>
      </c>
      <c r="D57" s="55"/>
      <c r="E57" s="231"/>
      <c r="F57" s="232"/>
      <c r="G57" s="51"/>
    </row>
    <row r="58" spans="1:7" s="52" customFormat="1" x14ac:dyDescent="0.3">
      <c r="A58" s="54"/>
      <c r="B58" s="54"/>
      <c r="C58" s="154" t="str">
        <f t="shared" si="7"/>
        <v/>
      </c>
      <c r="D58" s="55"/>
      <c r="E58" s="231"/>
      <c r="F58" s="232"/>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7" t="s">
        <v>12</v>
      </c>
      <c r="F63" s="228"/>
      <c r="G63" s="46"/>
    </row>
    <row r="64" spans="1:7" s="52" customFormat="1" x14ac:dyDescent="0.3">
      <c r="A64" s="53" t="s">
        <v>15</v>
      </c>
      <c r="B64" s="54">
        <v>2</v>
      </c>
      <c r="C64" s="153" t="str">
        <f t="shared" ref="C64:C65" si="8" xml:space="preserve"> IF(B64="","",setValueToTime(B64))</f>
        <v>0h10min</v>
      </c>
      <c r="D64" s="166" t="s">
        <v>63</v>
      </c>
      <c r="E64" s="229"/>
      <c r="F64" s="230"/>
      <c r="G64" s="51"/>
    </row>
    <row r="65" spans="1:7" s="52" customFormat="1" x14ac:dyDescent="0.3">
      <c r="A65" s="53" t="s">
        <v>44</v>
      </c>
      <c r="B65" s="54">
        <v>1</v>
      </c>
      <c r="C65" s="153" t="str">
        <f t="shared" si="8"/>
        <v>0h5min</v>
      </c>
      <c r="D65" s="166" t="s">
        <v>77</v>
      </c>
      <c r="E65" s="231"/>
      <c r="F65" s="232"/>
      <c r="G65" s="51"/>
    </row>
    <row r="66" spans="1:7" s="52" customFormat="1" x14ac:dyDescent="0.3">
      <c r="A66" s="53" t="s">
        <v>43</v>
      </c>
      <c r="B66" s="54">
        <v>33</v>
      </c>
      <c r="C66" s="153" t="str">
        <f t="shared" ref="C66:C71" si="9" xml:space="preserve"> IF(B66="","",setValueToTime(B66))</f>
        <v>2h45min</v>
      </c>
      <c r="D66" s="166" t="s">
        <v>94</v>
      </c>
      <c r="E66" s="231"/>
      <c r="F66" s="232"/>
      <c r="G66" s="51"/>
    </row>
    <row r="67" spans="1:7" s="52" customFormat="1" x14ac:dyDescent="0.3">
      <c r="A67" s="53"/>
      <c r="B67" s="54"/>
      <c r="C67" s="153" t="str">
        <f t="shared" si="9"/>
        <v/>
      </c>
      <c r="D67" s="55"/>
      <c r="E67" s="231"/>
      <c r="F67" s="232"/>
      <c r="G67" s="51"/>
    </row>
    <row r="68" spans="1:7" s="52" customFormat="1" x14ac:dyDescent="0.3">
      <c r="A68" s="54"/>
      <c r="B68" s="54"/>
      <c r="C68" s="154" t="str">
        <f t="shared" si="9"/>
        <v/>
      </c>
      <c r="D68" s="55"/>
      <c r="E68" s="231"/>
      <c r="F68" s="232"/>
      <c r="G68" s="51"/>
    </row>
    <row r="69" spans="1:7" s="52" customFormat="1" x14ac:dyDescent="0.3">
      <c r="A69" s="54"/>
      <c r="B69" s="54"/>
      <c r="C69" s="154" t="str">
        <f t="shared" si="9"/>
        <v/>
      </c>
      <c r="D69" s="55"/>
      <c r="E69" s="231"/>
      <c r="F69" s="232"/>
      <c r="G69" s="51"/>
    </row>
    <row r="70" spans="1:7" s="52" customFormat="1" x14ac:dyDescent="0.3">
      <c r="A70" s="54"/>
      <c r="B70" s="54"/>
      <c r="C70" s="154" t="str">
        <f t="shared" si="9"/>
        <v/>
      </c>
      <c r="D70" s="55"/>
      <c r="E70" s="231"/>
      <c r="F70" s="232"/>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7" t="s">
        <v>12</v>
      </c>
      <c r="F75" s="228"/>
      <c r="G75" s="46"/>
    </row>
    <row r="76" spans="1:7" s="52" customFormat="1" x14ac:dyDescent="0.3">
      <c r="A76" s="53" t="s">
        <v>15</v>
      </c>
      <c r="B76" s="54">
        <v>4</v>
      </c>
      <c r="C76" s="153" t="str">
        <f t="shared" ref="C76:C79" si="10" xml:space="preserve"> IF(B76="","",setValueToTime(B76))</f>
        <v>0h20min</v>
      </c>
      <c r="D76" s="166" t="s">
        <v>63</v>
      </c>
      <c r="E76" s="229"/>
      <c r="F76" s="230"/>
      <c r="G76" s="51"/>
    </row>
    <row r="77" spans="1:7" s="52" customFormat="1" x14ac:dyDescent="0.3">
      <c r="A77" s="53" t="s">
        <v>44</v>
      </c>
      <c r="B77" s="54">
        <v>1</v>
      </c>
      <c r="C77" s="153" t="str">
        <f t="shared" si="10"/>
        <v>0h5min</v>
      </c>
      <c r="D77" s="166" t="s">
        <v>77</v>
      </c>
      <c r="E77" s="231"/>
      <c r="F77" s="232"/>
      <c r="G77" s="51"/>
    </row>
    <row r="78" spans="1:7" s="52" customFormat="1" x14ac:dyDescent="0.3">
      <c r="A78" s="53" t="s">
        <v>57</v>
      </c>
      <c r="B78" s="54">
        <v>27</v>
      </c>
      <c r="C78" s="153" t="str">
        <f t="shared" si="10"/>
        <v>2h15min</v>
      </c>
      <c r="D78" s="166" t="s">
        <v>93</v>
      </c>
      <c r="E78" s="231"/>
      <c r="F78" s="232"/>
      <c r="G78" s="51"/>
    </row>
    <row r="79" spans="1:7" s="52" customFormat="1" ht="27" x14ac:dyDescent="0.3">
      <c r="A79" s="53" t="s">
        <v>51</v>
      </c>
      <c r="B79" s="54">
        <v>4</v>
      </c>
      <c r="C79" s="153" t="str">
        <f t="shared" si="10"/>
        <v>0h20min</v>
      </c>
      <c r="D79" s="166" t="s">
        <v>76</v>
      </c>
      <c r="E79" s="231"/>
      <c r="F79" s="232"/>
      <c r="G79" s="51"/>
    </row>
    <row r="80" spans="1:7" s="52" customFormat="1" x14ac:dyDescent="0.3">
      <c r="A80" s="54"/>
      <c r="B80" s="54"/>
      <c r="C80" s="154" t="str">
        <f t="shared" ref="C80:C83" si="11" xml:space="preserve"> IF(B80="","",setValueToTime(B80))</f>
        <v/>
      </c>
      <c r="D80" s="55"/>
      <c r="E80" s="231"/>
      <c r="F80" s="232"/>
      <c r="G80" s="51"/>
    </row>
    <row r="81" spans="1:7" s="52" customFormat="1" x14ac:dyDescent="0.3">
      <c r="A81" s="54"/>
      <c r="B81" s="54"/>
      <c r="C81" s="154" t="str">
        <f t="shared" si="11"/>
        <v/>
      </c>
      <c r="D81" s="55"/>
      <c r="E81" s="231"/>
      <c r="F81" s="232"/>
      <c r="G81" s="51"/>
    </row>
    <row r="82" spans="1:7" s="52" customFormat="1" x14ac:dyDescent="0.3">
      <c r="A82" s="54"/>
      <c r="B82" s="54"/>
      <c r="C82" s="154" t="str">
        <f t="shared" si="11"/>
        <v/>
      </c>
      <c r="D82" s="55"/>
      <c r="E82" s="231"/>
      <c r="F82" s="232"/>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7" t="s">
        <v>12</v>
      </c>
      <c r="F87" s="228"/>
      <c r="G87" s="46"/>
    </row>
    <row r="88" spans="1:7" s="52" customFormat="1" x14ac:dyDescent="0.3">
      <c r="A88" s="167" t="s">
        <v>57</v>
      </c>
      <c r="B88" s="49">
        <v>36</v>
      </c>
      <c r="C88" s="152" t="str">
        <f xml:space="preserve"> IF(B88="","",setValueToTime(B88))</f>
        <v>3h</v>
      </c>
      <c r="D88" s="165" t="s">
        <v>93</v>
      </c>
      <c r="E88" s="229"/>
      <c r="F88" s="230"/>
      <c r="G88" s="51"/>
    </row>
    <row r="89" spans="1:7" s="52" customFormat="1" x14ac:dyDescent="0.3">
      <c r="A89" s="168"/>
      <c r="B89" s="54"/>
      <c r="C89" s="153" t="str">
        <f t="shared" ref="C89:C95" si="12" xml:space="preserve"> IF(B89="","",setValueToTime(B89))</f>
        <v/>
      </c>
      <c r="D89" s="166"/>
      <c r="E89" s="231"/>
      <c r="F89" s="232"/>
      <c r="G89" s="51"/>
    </row>
    <row r="90" spans="1:7" s="52" customFormat="1" x14ac:dyDescent="0.3">
      <c r="A90" s="53"/>
      <c r="B90" s="54"/>
      <c r="C90" s="153" t="str">
        <f t="shared" si="12"/>
        <v/>
      </c>
      <c r="D90" s="55"/>
      <c r="E90" s="231"/>
      <c r="F90" s="232"/>
      <c r="G90" s="51"/>
    </row>
    <row r="91" spans="1:7" s="52" customFormat="1" x14ac:dyDescent="0.3">
      <c r="A91" s="53"/>
      <c r="B91" s="54"/>
      <c r="C91" s="153" t="str">
        <f t="shared" si="12"/>
        <v/>
      </c>
      <c r="D91" s="55"/>
      <c r="E91" s="231"/>
      <c r="F91" s="232"/>
      <c r="G91" s="51"/>
    </row>
    <row r="92" spans="1:7" s="52" customFormat="1" x14ac:dyDescent="0.3">
      <c r="A92" s="54"/>
      <c r="B92" s="54"/>
      <c r="C92" s="154" t="str">
        <f t="shared" si="12"/>
        <v/>
      </c>
      <c r="D92" s="55"/>
      <c r="E92" s="231"/>
      <c r="F92" s="232"/>
      <c r="G92" s="51"/>
    </row>
    <row r="93" spans="1:7" s="52" customFormat="1" x14ac:dyDescent="0.3">
      <c r="A93" s="54"/>
      <c r="B93" s="54"/>
      <c r="C93" s="154" t="str">
        <f t="shared" si="12"/>
        <v/>
      </c>
      <c r="D93" s="55"/>
      <c r="E93" s="231"/>
      <c r="F93" s="232"/>
      <c r="G93" s="51"/>
    </row>
    <row r="94" spans="1:7" s="52" customFormat="1" x14ac:dyDescent="0.3">
      <c r="A94" s="54"/>
      <c r="B94" s="54"/>
      <c r="C94" s="154" t="str">
        <f t="shared" si="12"/>
        <v/>
      </c>
      <c r="D94" s="55"/>
      <c r="E94" s="231"/>
      <c r="F94" s="232"/>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7" t="s">
        <v>12</v>
      </c>
      <c r="F99" s="228"/>
      <c r="G99" s="46"/>
    </row>
    <row r="100" spans="1:7" s="52" customFormat="1" x14ac:dyDescent="0.3">
      <c r="A100" s="53" t="s">
        <v>15</v>
      </c>
      <c r="B100" s="54">
        <v>4</v>
      </c>
      <c r="C100" s="153" t="str">
        <f t="shared" ref="C100:C101" si="13" xml:space="preserve"> IF(B100="","",setValueToTime(B100))</f>
        <v>0h20min</v>
      </c>
      <c r="D100" s="166" t="s">
        <v>63</v>
      </c>
      <c r="E100" s="229"/>
      <c r="F100" s="230"/>
      <c r="G100" s="51"/>
    </row>
    <row r="101" spans="1:7" s="52" customFormat="1" x14ac:dyDescent="0.3">
      <c r="A101" s="53" t="s">
        <v>44</v>
      </c>
      <c r="B101" s="54">
        <v>1</v>
      </c>
      <c r="C101" s="153" t="str">
        <f t="shared" si="13"/>
        <v>0h5min</v>
      </c>
      <c r="D101" s="166" t="s">
        <v>77</v>
      </c>
      <c r="E101" s="231"/>
      <c r="F101" s="232"/>
      <c r="G101" s="51"/>
    </row>
    <row r="102" spans="1:7" s="52" customFormat="1" x14ac:dyDescent="0.3">
      <c r="A102" s="53" t="s">
        <v>57</v>
      </c>
      <c r="B102" s="54">
        <v>36</v>
      </c>
      <c r="C102" s="153" t="str">
        <f t="shared" ref="C102:C107" si="14" xml:space="preserve"> IF(B102="","",setValueToTime(B102))</f>
        <v>3h</v>
      </c>
      <c r="D102" s="166" t="s">
        <v>92</v>
      </c>
      <c r="E102" s="231"/>
      <c r="F102" s="232"/>
      <c r="G102" s="51"/>
    </row>
    <row r="103" spans="1:7" s="52" customFormat="1" ht="27" x14ac:dyDescent="0.3">
      <c r="A103" s="53" t="s">
        <v>51</v>
      </c>
      <c r="B103" s="54">
        <v>4</v>
      </c>
      <c r="C103" s="153" t="str">
        <f t="shared" si="14"/>
        <v>0h20min</v>
      </c>
      <c r="D103" s="166" t="s">
        <v>76</v>
      </c>
      <c r="E103" s="231"/>
      <c r="F103" s="232"/>
      <c r="G103" s="51"/>
    </row>
    <row r="104" spans="1:7" s="52" customFormat="1" x14ac:dyDescent="0.3">
      <c r="A104" s="54"/>
      <c r="B104" s="54"/>
      <c r="C104" s="154" t="str">
        <f t="shared" si="14"/>
        <v/>
      </c>
      <c r="D104" s="55"/>
      <c r="E104" s="231"/>
      <c r="F104" s="232"/>
      <c r="G104" s="51"/>
    </row>
    <row r="105" spans="1:7" s="52" customFormat="1" x14ac:dyDescent="0.3">
      <c r="A105" s="54"/>
      <c r="B105" s="54"/>
      <c r="C105" s="154" t="str">
        <f t="shared" si="14"/>
        <v/>
      </c>
      <c r="D105" s="55"/>
      <c r="E105" s="231"/>
      <c r="F105" s="232"/>
      <c r="G105" s="51"/>
    </row>
    <row r="106" spans="1:7" s="52" customFormat="1" x14ac:dyDescent="0.3">
      <c r="A106" s="54"/>
      <c r="B106" s="54"/>
      <c r="C106" s="154" t="str">
        <f t="shared" si="14"/>
        <v/>
      </c>
      <c r="D106" s="55"/>
      <c r="E106" s="231"/>
      <c r="F106" s="232"/>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7" t="s">
        <v>12</v>
      </c>
      <c r="F111" s="228"/>
      <c r="G111" s="46"/>
    </row>
    <row r="112" spans="1:7" s="52" customFormat="1" x14ac:dyDescent="0.3">
      <c r="A112" s="48" t="s">
        <v>73</v>
      </c>
      <c r="B112" s="49">
        <v>45</v>
      </c>
      <c r="C112" s="152" t="str">
        <f xml:space="preserve"> IF(B112="","",setValueToTime(B112))</f>
        <v>3h45min</v>
      </c>
      <c r="D112" s="165" t="s">
        <v>91</v>
      </c>
      <c r="E112" s="229"/>
      <c r="F112" s="230"/>
      <c r="G112" s="51"/>
    </row>
    <row r="113" spans="1:7" s="52" customFormat="1" x14ac:dyDescent="0.3">
      <c r="A113" s="53"/>
      <c r="B113" s="54"/>
      <c r="C113" s="153" t="str">
        <f t="shared" ref="C113" si="15" xml:space="preserve"> IF(B113="","",setValueToTime(B113))</f>
        <v/>
      </c>
      <c r="D113" s="166"/>
      <c r="E113" s="231"/>
      <c r="F113" s="232"/>
      <c r="G113" s="51"/>
    </row>
    <row r="114" spans="1:7" s="52" customFormat="1" x14ac:dyDescent="0.3">
      <c r="A114" s="53"/>
      <c r="B114" s="54"/>
      <c r="C114" s="153" t="str">
        <f t="shared" ref="C114:C119" si="16" xml:space="preserve"> IF(B114="","",setValueToTime(B114))</f>
        <v/>
      </c>
      <c r="D114" s="55"/>
      <c r="E114" s="231"/>
      <c r="F114" s="232"/>
      <c r="G114" s="51"/>
    </row>
    <row r="115" spans="1:7" s="52" customFormat="1" x14ac:dyDescent="0.3">
      <c r="A115" s="53"/>
      <c r="B115" s="54"/>
      <c r="C115" s="153" t="str">
        <f t="shared" si="16"/>
        <v/>
      </c>
      <c r="D115" s="55"/>
      <c r="E115" s="231"/>
      <c r="F115" s="232"/>
      <c r="G115" s="51"/>
    </row>
    <row r="116" spans="1:7" s="52" customFormat="1" x14ac:dyDescent="0.3">
      <c r="A116" s="54"/>
      <c r="B116" s="54"/>
      <c r="C116" s="154" t="str">
        <f t="shared" si="16"/>
        <v/>
      </c>
      <c r="D116" s="55"/>
      <c r="E116" s="231"/>
      <c r="F116" s="232"/>
      <c r="G116" s="51"/>
    </row>
    <row r="117" spans="1:7" s="52" customFormat="1" x14ac:dyDescent="0.3">
      <c r="A117" s="54"/>
      <c r="B117" s="54"/>
      <c r="C117" s="154" t="str">
        <f t="shared" si="16"/>
        <v/>
      </c>
      <c r="D117" s="55"/>
      <c r="E117" s="231"/>
      <c r="F117" s="232"/>
      <c r="G117" s="51"/>
    </row>
    <row r="118" spans="1:7" s="52" customFormat="1" x14ac:dyDescent="0.3">
      <c r="A118" s="54"/>
      <c r="B118" s="54"/>
      <c r="C118" s="154" t="str">
        <f t="shared" si="16"/>
        <v/>
      </c>
      <c r="D118" s="55"/>
      <c r="E118" s="231"/>
      <c r="F118" s="232"/>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7" t="s">
        <v>12</v>
      </c>
      <c r="F123" s="228"/>
      <c r="G123" s="46"/>
    </row>
    <row r="124" spans="1:7" s="52" customFormat="1" x14ac:dyDescent="0.3">
      <c r="A124" s="53" t="s">
        <v>15</v>
      </c>
      <c r="B124" s="54">
        <v>4</v>
      </c>
      <c r="C124" s="153" t="str">
        <f t="shared" ref="C124:C129" si="17" xml:space="preserve"> IF(B124="","",setValueToTime(B124))</f>
        <v>0h20min</v>
      </c>
      <c r="D124" s="166" t="s">
        <v>63</v>
      </c>
      <c r="E124" s="229"/>
      <c r="F124" s="230"/>
      <c r="G124" s="51"/>
    </row>
    <row r="125" spans="1:7" s="52" customFormat="1" x14ac:dyDescent="0.3">
      <c r="A125" s="53" t="s">
        <v>44</v>
      </c>
      <c r="B125" s="54">
        <v>1</v>
      </c>
      <c r="C125" s="153" t="str">
        <f t="shared" si="17"/>
        <v>0h5min</v>
      </c>
      <c r="D125" s="166" t="s">
        <v>77</v>
      </c>
      <c r="E125" s="231"/>
      <c r="F125" s="232"/>
      <c r="G125" s="51"/>
    </row>
    <row r="126" spans="1:7" s="52" customFormat="1" x14ac:dyDescent="0.3">
      <c r="A126" s="53" t="s">
        <v>56</v>
      </c>
      <c r="B126" s="54">
        <v>12</v>
      </c>
      <c r="C126" s="153" t="str">
        <f t="shared" si="17"/>
        <v>1h</v>
      </c>
      <c r="D126" s="166" t="s">
        <v>88</v>
      </c>
      <c r="E126" s="231"/>
      <c r="F126" s="232"/>
      <c r="G126" s="51"/>
    </row>
    <row r="127" spans="1:7" s="52" customFormat="1" x14ac:dyDescent="0.3">
      <c r="A127" s="53" t="s">
        <v>43</v>
      </c>
      <c r="B127" s="54">
        <v>10</v>
      </c>
      <c r="C127" s="153" t="str">
        <f t="shared" si="17"/>
        <v>0h50min</v>
      </c>
      <c r="D127" s="166" t="s">
        <v>89</v>
      </c>
      <c r="E127" s="231"/>
      <c r="F127" s="232"/>
      <c r="G127" s="51"/>
    </row>
    <row r="128" spans="1:7" s="52" customFormat="1" x14ac:dyDescent="0.3">
      <c r="A128" s="54" t="s">
        <v>14</v>
      </c>
      <c r="B128" s="54">
        <v>5</v>
      </c>
      <c r="C128" s="154" t="str">
        <f t="shared" si="17"/>
        <v>0h25min</v>
      </c>
      <c r="D128" s="166" t="s">
        <v>87</v>
      </c>
      <c r="E128" s="231"/>
      <c r="F128" s="232"/>
      <c r="G128" s="51"/>
    </row>
    <row r="129" spans="1:7" s="52" customFormat="1" ht="27" x14ac:dyDescent="0.3">
      <c r="A129" s="54" t="s">
        <v>51</v>
      </c>
      <c r="B129" s="54">
        <v>4</v>
      </c>
      <c r="C129" s="154" t="str">
        <f t="shared" si="17"/>
        <v>0h20min</v>
      </c>
      <c r="D129" s="166" t="s">
        <v>76</v>
      </c>
      <c r="E129" s="231"/>
      <c r="F129" s="232"/>
      <c r="G129" s="51"/>
    </row>
    <row r="130" spans="1:7" s="52" customFormat="1" x14ac:dyDescent="0.3">
      <c r="A130" s="54"/>
      <c r="B130" s="54"/>
      <c r="C130" s="154" t="str">
        <f t="shared" ref="C130:C131" si="18" xml:space="preserve"> IF(B130="","",setValueToTime(B130))</f>
        <v/>
      </c>
      <c r="D130" s="55"/>
      <c r="E130" s="231"/>
      <c r="F130" s="232"/>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7" t="s">
        <v>12</v>
      </c>
      <c r="F135" s="228"/>
      <c r="G135" s="46"/>
    </row>
    <row r="136" spans="1:7" s="52" customFormat="1" x14ac:dyDescent="0.3">
      <c r="A136" s="48" t="s">
        <v>56</v>
      </c>
      <c r="B136" s="49">
        <v>35</v>
      </c>
      <c r="C136" s="152" t="str">
        <f xml:space="preserve"> IF(B136="","",setValueToTime(B136))</f>
        <v>2h55min</v>
      </c>
      <c r="D136" s="165" t="s">
        <v>85</v>
      </c>
      <c r="E136" s="229"/>
      <c r="F136" s="230"/>
      <c r="G136" s="51"/>
    </row>
    <row r="137" spans="1:7" s="52" customFormat="1" x14ac:dyDescent="0.3">
      <c r="A137" s="53" t="s">
        <v>43</v>
      </c>
      <c r="B137" s="54">
        <v>10</v>
      </c>
      <c r="C137" s="153" t="str">
        <f t="shared" ref="C137" si="19" xml:space="preserve"> IF(B137="","",setValueToTime(B137))</f>
        <v>0h50min</v>
      </c>
      <c r="D137" s="166" t="s">
        <v>86</v>
      </c>
      <c r="E137" s="231"/>
      <c r="F137" s="232"/>
      <c r="G137" s="51"/>
    </row>
    <row r="138" spans="1:7" s="52" customFormat="1" x14ac:dyDescent="0.3">
      <c r="A138" s="53"/>
      <c r="B138" s="54"/>
      <c r="C138" s="153" t="str">
        <f t="shared" ref="C138:C143" si="20" xml:space="preserve"> IF(B138="","",setValueToTime(B138))</f>
        <v/>
      </c>
      <c r="D138" s="55"/>
      <c r="E138" s="231"/>
      <c r="F138" s="232"/>
      <c r="G138" s="51"/>
    </row>
    <row r="139" spans="1:7" s="52" customFormat="1" x14ac:dyDescent="0.3">
      <c r="A139" s="53"/>
      <c r="B139" s="54"/>
      <c r="C139" s="153" t="str">
        <f t="shared" si="20"/>
        <v/>
      </c>
      <c r="D139" s="55"/>
      <c r="E139" s="231"/>
      <c r="F139" s="232"/>
      <c r="G139" s="51"/>
    </row>
    <row r="140" spans="1:7" s="52" customFormat="1" x14ac:dyDescent="0.3">
      <c r="A140" s="54"/>
      <c r="B140" s="54"/>
      <c r="C140" s="154" t="str">
        <f t="shared" si="20"/>
        <v/>
      </c>
      <c r="D140" s="55"/>
      <c r="E140" s="231"/>
      <c r="F140" s="232"/>
      <c r="G140" s="51"/>
    </row>
    <row r="141" spans="1:7" s="52" customFormat="1" x14ac:dyDescent="0.3">
      <c r="A141" s="54"/>
      <c r="B141" s="54"/>
      <c r="C141" s="154" t="str">
        <f t="shared" si="20"/>
        <v/>
      </c>
      <c r="D141" s="55"/>
      <c r="E141" s="231"/>
      <c r="F141" s="232"/>
      <c r="G141" s="51"/>
    </row>
    <row r="142" spans="1:7" s="52" customFormat="1" x14ac:dyDescent="0.3">
      <c r="A142" s="54"/>
      <c r="B142" s="54"/>
      <c r="C142" s="154" t="str">
        <f t="shared" si="20"/>
        <v/>
      </c>
      <c r="D142" s="55"/>
      <c r="E142" s="231"/>
      <c r="F142" s="232"/>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7" t="s">
        <v>12</v>
      </c>
      <c r="F147" s="228"/>
      <c r="G147" s="46"/>
    </row>
    <row r="148" spans="1:7" s="52" customFormat="1" x14ac:dyDescent="0.3">
      <c r="A148" s="53" t="s">
        <v>15</v>
      </c>
      <c r="B148" s="54">
        <v>2</v>
      </c>
      <c r="C148" s="153" t="str">
        <f t="shared" ref="C148:C149" si="21" xml:space="preserve"> IF(B148="","",setValueToTime(B148))</f>
        <v>0h10min</v>
      </c>
      <c r="D148" s="166" t="s">
        <v>63</v>
      </c>
      <c r="E148" s="229"/>
      <c r="F148" s="230"/>
      <c r="G148" s="51"/>
    </row>
    <row r="149" spans="1:7" s="52" customFormat="1" x14ac:dyDescent="0.3">
      <c r="A149" s="53" t="s">
        <v>44</v>
      </c>
      <c r="B149" s="54">
        <v>1</v>
      </c>
      <c r="C149" s="153" t="str">
        <f t="shared" si="21"/>
        <v>0h5min</v>
      </c>
      <c r="D149" s="166" t="s">
        <v>77</v>
      </c>
      <c r="E149" s="231"/>
      <c r="F149" s="232"/>
      <c r="G149" s="51"/>
    </row>
    <row r="150" spans="1:7" s="52" customFormat="1" x14ac:dyDescent="0.3">
      <c r="A150" s="53" t="s">
        <v>56</v>
      </c>
      <c r="B150" s="54">
        <v>23</v>
      </c>
      <c r="C150" s="153" t="str">
        <f t="shared" ref="C150:C155" si="22" xml:space="preserve"> IF(B150="","",setValueToTime(B150))</f>
        <v>1h55min</v>
      </c>
      <c r="D150" s="166" t="s">
        <v>85</v>
      </c>
      <c r="E150" s="231"/>
      <c r="F150" s="232"/>
      <c r="G150" s="51"/>
    </row>
    <row r="151" spans="1:7" s="52" customFormat="1" x14ac:dyDescent="0.3">
      <c r="A151" s="53" t="s">
        <v>43</v>
      </c>
      <c r="B151" s="54">
        <v>10</v>
      </c>
      <c r="C151" s="153" t="str">
        <f t="shared" si="22"/>
        <v>0h50min</v>
      </c>
      <c r="D151" s="166" t="s">
        <v>86</v>
      </c>
      <c r="E151" s="231"/>
      <c r="F151" s="232"/>
      <c r="G151" s="51"/>
    </row>
    <row r="152" spans="1:7" s="52" customFormat="1" x14ac:dyDescent="0.3">
      <c r="A152" s="54"/>
      <c r="B152" s="54"/>
      <c r="C152" s="154" t="str">
        <f t="shared" si="22"/>
        <v/>
      </c>
      <c r="D152" s="55"/>
      <c r="E152" s="231"/>
      <c r="F152" s="232"/>
      <c r="G152" s="51"/>
    </row>
    <row r="153" spans="1:7" s="52" customFormat="1" x14ac:dyDescent="0.3">
      <c r="A153" s="54"/>
      <c r="B153" s="54"/>
      <c r="C153" s="154" t="str">
        <f t="shared" si="22"/>
        <v/>
      </c>
      <c r="D153" s="55"/>
      <c r="E153" s="231"/>
      <c r="F153" s="232"/>
      <c r="G153" s="51"/>
    </row>
    <row r="154" spans="1:7" s="52" customFormat="1" x14ac:dyDescent="0.3">
      <c r="A154" s="54"/>
      <c r="B154" s="54"/>
      <c r="C154" s="154" t="str">
        <f t="shared" si="22"/>
        <v/>
      </c>
      <c r="D154" s="55"/>
      <c r="E154" s="231"/>
      <c r="F154" s="232"/>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7" t="s">
        <v>12</v>
      </c>
      <c r="F159" s="228"/>
      <c r="G159" s="46"/>
    </row>
    <row r="160" spans="1:7" s="52" customFormat="1" x14ac:dyDescent="0.3">
      <c r="A160" s="53" t="s">
        <v>15</v>
      </c>
      <c r="B160" s="54">
        <v>4</v>
      </c>
      <c r="C160" s="153" t="str">
        <f t="shared" ref="C160:C165" si="23" xml:space="preserve"> IF(B160="","",setValueToTime(B160))</f>
        <v>0h20min</v>
      </c>
      <c r="D160" s="166" t="s">
        <v>63</v>
      </c>
      <c r="E160" s="229"/>
      <c r="F160" s="230"/>
      <c r="G160" s="51"/>
    </row>
    <row r="161" spans="1:7" s="52" customFormat="1" x14ac:dyDescent="0.3">
      <c r="A161" s="53" t="s">
        <v>44</v>
      </c>
      <c r="B161" s="54">
        <v>1</v>
      </c>
      <c r="C161" s="153" t="str">
        <f t="shared" si="23"/>
        <v>0h5min</v>
      </c>
      <c r="D161" s="166" t="s">
        <v>77</v>
      </c>
      <c r="E161" s="231"/>
      <c r="F161" s="232"/>
      <c r="G161" s="51"/>
    </row>
    <row r="162" spans="1:7" s="52" customFormat="1" x14ac:dyDescent="0.3">
      <c r="A162" s="53" t="s">
        <v>56</v>
      </c>
      <c r="B162" s="54">
        <v>12</v>
      </c>
      <c r="C162" s="153" t="str">
        <f t="shared" si="23"/>
        <v>1h</v>
      </c>
      <c r="D162" s="166" t="s">
        <v>85</v>
      </c>
      <c r="E162" s="231"/>
      <c r="F162" s="232"/>
      <c r="G162" s="51"/>
    </row>
    <row r="163" spans="1:7" s="52" customFormat="1" x14ac:dyDescent="0.3">
      <c r="A163" s="53" t="s">
        <v>43</v>
      </c>
      <c r="B163" s="54">
        <v>10</v>
      </c>
      <c r="C163" s="153" t="str">
        <f t="shared" si="23"/>
        <v>0h50min</v>
      </c>
      <c r="D163" s="166" t="s">
        <v>86</v>
      </c>
      <c r="E163" s="231"/>
      <c r="F163" s="232"/>
      <c r="G163" s="51"/>
    </row>
    <row r="164" spans="1:7" s="52" customFormat="1" x14ac:dyDescent="0.3">
      <c r="A164" s="54" t="s">
        <v>14</v>
      </c>
      <c r="B164" s="54">
        <v>5</v>
      </c>
      <c r="C164" s="154" t="str">
        <f t="shared" si="23"/>
        <v>0h25min</v>
      </c>
      <c r="D164" s="166" t="s">
        <v>87</v>
      </c>
      <c r="E164" s="231"/>
      <c r="F164" s="232"/>
      <c r="G164" s="51"/>
    </row>
    <row r="165" spans="1:7" s="52" customFormat="1" ht="27" x14ac:dyDescent="0.3">
      <c r="A165" s="54" t="s">
        <v>51</v>
      </c>
      <c r="B165" s="54">
        <v>4</v>
      </c>
      <c r="C165" s="154" t="str">
        <f t="shared" si="23"/>
        <v>0h20min</v>
      </c>
      <c r="D165" s="166" t="s">
        <v>76</v>
      </c>
      <c r="E165" s="231"/>
      <c r="F165" s="232"/>
      <c r="G165" s="51"/>
    </row>
    <row r="166" spans="1:7" s="52" customFormat="1" x14ac:dyDescent="0.3">
      <c r="A166" s="54"/>
      <c r="B166" s="54"/>
      <c r="C166" s="154" t="str">
        <f t="shared" ref="C166:C167" si="24" xml:space="preserve"> IF(B166="","",setValueToTime(B166))</f>
        <v/>
      </c>
      <c r="D166" s="55"/>
      <c r="E166" s="231"/>
      <c r="F166" s="232"/>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7" t="s">
        <v>12</v>
      </c>
      <c r="F171" s="228"/>
      <c r="G171" s="46"/>
    </row>
    <row r="172" spans="1:7" s="52" customFormat="1" x14ac:dyDescent="0.3">
      <c r="A172" s="48" t="s">
        <v>56</v>
      </c>
      <c r="B172" s="49">
        <v>26</v>
      </c>
      <c r="C172" s="152" t="str">
        <f xml:space="preserve"> IF(B172="","",setValueToTime(B172))</f>
        <v>2h10min</v>
      </c>
      <c r="D172" s="165" t="s">
        <v>85</v>
      </c>
      <c r="E172" s="229"/>
      <c r="F172" s="230"/>
      <c r="G172" s="51"/>
    </row>
    <row r="173" spans="1:7" s="52" customFormat="1" x14ac:dyDescent="0.3">
      <c r="A173" s="53" t="s">
        <v>43</v>
      </c>
      <c r="B173" s="54">
        <v>10</v>
      </c>
      <c r="C173" s="153" t="str">
        <f t="shared" ref="C173:C179" si="25" xml:space="preserve"> IF(B173="","",setValueToTime(B173))</f>
        <v>0h50min</v>
      </c>
      <c r="D173" s="166" t="s">
        <v>86</v>
      </c>
      <c r="E173" s="231"/>
      <c r="F173" s="232"/>
      <c r="G173" s="51"/>
    </row>
    <row r="174" spans="1:7" s="52" customFormat="1" x14ac:dyDescent="0.3">
      <c r="A174" s="53"/>
      <c r="B174" s="54"/>
      <c r="C174" s="153" t="str">
        <f t="shared" si="25"/>
        <v/>
      </c>
      <c r="D174" s="55"/>
      <c r="E174" s="231"/>
      <c r="F174" s="232"/>
      <c r="G174" s="51"/>
    </row>
    <row r="175" spans="1:7" s="52" customFormat="1" x14ac:dyDescent="0.3">
      <c r="A175" s="53"/>
      <c r="B175" s="54"/>
      <c r="C175" s="153" t="str">
        <f t="shared" si="25"/>
        <v/>
      </c>
      <c r="D175" s="55"/>
      <c r="E175" s="231"/>
      <c r="F175" s="232"/>
      <c r="G175" s="51"/>
    </row>
    <row r="176" spans="1:7" s="52" customFormat="1" x14ac:dyDescent="0.3">
      <c r="A176" s="54"/>
      <c r="B176" s="54"/>
      <c r="C176" s="154" t="str">
        <f t="shared" si="25"/>
        <v/>
      </c>
      <c r="D176" s="55"/>
      <c r="E176" s="231"/>
      <c r="F176" s="232"/>
      <c r="G176" s="51"/>
    </row>
    <row r="177" spans="1:7" s="52" customFormat="1" x14ac:dyDescent="0.3">
      <c r="A177" s="54"/>
      <c r="B177" s="54"/>
      <c r="C177" s="154" t="str">
        <f t="shared" si="25"/>
        <v/>
      </c>
      <c r="D177" s="55"/>
      <c r="E177" s="231"/>
      <c r="F177" s="232"/>
      <c r="G177" s="51"/>
    </row>
    <row r="178" spans="1:7" s="52" customFormat="1" x14ac:dyDescent="0.3">
      <c r="A178" s="54"/>
      <c r="B178" s="54"/>
      <c r="C178" s="154" t="str">
        <f t="shared" si="25"/>
        <v/>
      </c>
      <c r="D178" s="55"/>
      <c r="E178" s="231"/>
      <c r="F178" s="232"/>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7" t="s">
        <v>12</v>
      </c>
      <c r="F183" s="228"/>
      <c r="G183" s="46"/>
    </row>
    <row r="184" spans="1:7" s="52" customFormat="1" x14ac:dyDescent="0.3">
      <c r="A184" s="53" t="s">
        <v>15</v>
      </c>
      <c r="B184" s="54">
        <v>4</v>
      </c>
      <c r="C184" s="153" t="str">
        <f t="shared" ref="C184:C188" si="26" xml:space="preserve"> IF(B184="","",setValueToTime(B184))</f>
        <v>0h20min</v>
      </c>
      <c r="D184" s="166" t="s">
        <v>63</v>
      </c>
      <c r="E184" s="229"/>
      <c r="F184" s="230"/>
      <c r="G184" s="51"/>
    </row>
    <row r="185" spans="1:7" s="52" customFormat="1" x14ac:dyDescent="0.3">
      <c r="A185" s="53" t="s">
        <v>44</v>
      </c>
      <c r="B185" s="54">
        <v>1</v>
      </c>
      <c r="C185" s="153" t="str">
        <f t="shared" si="26"/>
        <v>0h5min</v>
      </c>
      <c r="D185" s="166" t="s">
        <v>77</v>
      </c>
      <c r="E185" s="231"/>
      <c r="F185" s="232"/>
      <c r="G185" s="51"/>
    </row>
    <row r="186" spans="1:7" s="52" customFormat="1" x14ac:dyDescent="0.3">
      <c r="A186" s="53" t="s">
        <v>55</v>
      </c>
      <c r="B186" s="54">
        <v>10</v>
      </c>
      <c r="C186" s="153" t="str">
        <f t="shared" si="26"/>
        <v>0h50min</v>
      </c>
      <c r="D186" s="166" t="s">
        <v>83</v>
      </c>
      <c r="E186" s="231"/>
      <c r="F186" s="232"/>
      <c r="G186" s="51"/>
    </row>
    <row r="187" spans="1:7" s="52" customFormat="1" x14ac:dyDescent="0.3">
      <c r="A187" s="53" t="s">
        <v>43</v>
      </c>
      <c r="B187" s="54">
        <v>17</v>
      </c>
      <c r="C187" s="153" t="str">
        <f t="shared" si="26"/>
        <v>1h25min</v>
      </c>
      <c r="D187" s="166" t="s">
        <v>84</v>
      </c>
      <c r="E187" s="231"/>
      <c r="F187" s="232"/>
      <c r="G187" s="51"/>
    </row>
    <row r="188" spans="1:7" s="52" customFormat="1" x14ac:dyDescent="0.3">
      <c r="A188" s="54" t="s">
        <v>14</v>
      </c>
      <c r="B188" s="54">
        <v>5</v>
      </c>
      <c r="C188" s="154" t="str">
        <f t="shared" si="26"/>
        <v>0h25min</v>
      </c>
      <c r="D188" s="55" t="s">
        <v>79</v>
      </c>
      <c r="E188" s="231"/>
      <c r="F188" s="232"/>
      <c r="G188" s="51"/>
    </row>
    <row r="189" spans="1:7" s="52" customFormat="1" x14ac:dyDescent="0.3">
      <c r="A189" s="54"/>
      <c r="B189" s="54"/>
      <c r="C189" s="154" t="str">
        <f t="shared" ref="C189:C191" si="27" xml:space="preserve"> IF(B189="","",setValueToTime(B189))</f>
        <v/>
      </c>
      <c r="D189" s="55"/>
      <c r="E189" s="231"/>
      <c r="F189" s="232"/>
      <c r="G189" s="51"/>
    </row>
    <row r="190" spans="1:7" s="52" customFormat="1" x14ac:dyDescent="0.3">
      <c r="A190" s="54"/>
      <c r="B190" s="54"/>
      <c r="C190" s="154" t="str">
        <f t="shared" si="27"/>
        <v/>
      </c>
      <c r="D190" s="55"/>
      <c r="E190" s="231"/>
      <c r="F190" s="232"/>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7" t="s">
        <v>12</v>
      </c>
      <c r="F195" s="228"/>
      <c r="G195" s="46"/>
    </row>
    <row r="196" spans="1:7" s="52" customFormat="1" x14ac:dyDescent="0.3">
      <c r="A196" s="48" t="s">
        <v>55</v>
      </c>
      <c r="B196" s="49">
        <v>35</v>
      </c>
      <c r="C196" s="152" t="str">
        <f xml:space="preserve"> IF(B196="","",setValueToTime(B196))</f>
        <v>2h55min</v>
      </c>
      <c r="D196" s="165" t="s">
        <v>81</v>
      </c>
      <c r="E196" s="229"/>
      <c r="F196" s="230"/>
      <c r="G196" s="51"/>
    </row>
    <row r="197" spans="1:7" s="52" customFormat="1" x14ac:dyDescent="0.3">
      <c r="A197" s="53" t="s">
        <v>43</v>
      </c>
      <c r="B197" s="54">
        <v>10</v>
      </c>
      <c r="C197" s="153" t="str">
        <f t="shared" ref="C197:C203" si="28" xml:space="preserve"> IF(B197="","",setValueToTime(B197))</f>
        <v>0h50min</v>
      </c>
      <c r="D197" s="166" t="s">
        <v>82</v>
      </c>
      <c r="E197" s="231"/>
      <c r="F197" s="232"/>
      <c r="G197" s="51"/>
    </row>
    <row r="198" spans="1:7" s="52" customFormat="1" x14ac:dyDescent="0.3">
      <c r="A198" s="53"/>
      <c r="B198" s="54"/>
      <c r="C198" s="153" t="str">
        <f t="shared" si="28"/>
        <v/>
      </c>
      <c r="D198" s="55"/>
      <c r="E198" s="231"/>
      <c r="F198" s="232"/>
      <c r="G198" s="51"/>
    </row>
    <row r="199" spans="1:7" s="52" customFormat="1" x14ac:dyDescent="0.3">
      <c r="A199" s="53"/>
      <c r="B199" s="54"/>
      <c r="C199" s="153" t="str">
        <f t="shared" si="28"/>
        <v/>
      </c>
      <c r="D199" s="55"/>
      <c r="E199" s="231"/>
      <c r="F199" s="232"/>
      <c r="G199" s="51"/>
    </row>
    <row r="200" spans="1:7" s="52" customFormat="1" x14ac:dyDescent="0.3">
      <c r="A200" s="54"/>
      <c r="B200" s="54"/>
      <c r="C200" s="154" t="str">
        <f t="shared" si="28"/>
        <v/>
      </c>
      <c r="D200" s="55"/>
      <c r="E200" s="231"/>
      <c r="F200" s="232"/>
      <c r="G200" s="51"/>
    </row>
    <row r="201" spans="1:7" s="52" customFormat="1" x14ac:dyDescent="0.3">
      <c r="A201" s="54"/>
      <c r="B201" s="54"/>
      <c r="C201" s="154" t="str">
        <f t="shared" si="28"/>
        <v/>
      </c>
      <c r="D201" s="55"/>
      <c r="E201" s="231"/>
      <c r="F201" s="232"/>
      <c r="G201" s="51"/>
    </row>
    <row r="202" spans="1:7" s="52" customFormat="1" x14ac:dyDescent="0.3">
      <c r="A202" s="54"/>
      <c r="B202" s="54"/>
      <c r="C202" s="154" t="str">
        <f t="shared" si="28"/>
        <v/>
      </c>
      <c r="D202" s="55"/>
      <c r="E202" s="231"/>
      <c r="F202" s="232"/>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7" t="s">
        <v>12</v>
      </c>
      <c r="F207" s="228"/>
      <c r="G207" s="46"/>
    </row>
    <row r="208" spans="1:7" s="52" customFormat="1" x14ac:dyDescent="0.3">
      <c r="A208" s="53" t="s">
        <v>15</v>
      </c>
      <c r="B208" s="54">
        <v>4</v>
      </c>
      <c r="C208" s="153" t="str">
        <f t="shared" ref="C208:C209" si="29" xml:space="preserve"> IF(B208="","",setValueToTime(B208))</f>
        <v>0h20min</v>
      </c>
      <c r="D208" s="166" t="s">
        <v>63</v>
      </c>
      <c r="E208" s="229"/>
      <c r="F208" s="230"/>
      <c r="G208" s="51"/>
    </row>
    <row r="209" spans="1:7" s="52" customFormat="1" x14ac:dyDescent="0.3">
      <c r="A209" s="53" t="s">
        <v>44</v>
      </c>
      <c r="B209" s="54">
        <v>1</v>
      </c>
      <c r="C209" s="153" t="str">
        <f t="shared" si="29"/>
        <v>0h5min</v>
      </c>
      <c r="D209" s="166" t="s">
        <v>77</v>
      </c>
      <c r="E209" s="231"/>
      <c r="F209" s="232"/>
      <c r="G209" s="51"/>
    </row>
    <row r="210" spans="1:7" s="52" customFormat="1" x14ac:dyDescent="0.3">
      <c r="A210" s="53" t="s">
        <v>55</v>
      </c>
      <c r="B210" s="54">
        <v>12</v>
      </c>
      <c r="C210" s="153" t="str">
        <f t="shared" ref="C210:C215" si="30" xml:space="preserve"> IF(B210="","",setValueToTime(B210))</f>
        <v>1h</v>
      </c>
      <c r="D210" s="166" t="s">
        <v>81</v>
      </c>
      <c r="E210" s="231"/>
      <c r="F210" s="232"/>
      <c r="G210" s="51"/>
    </row>
    <row r="211" spans="1:7" s="52" customFormat="1" x14ac:dyDescent="0.3">
      <c r="A211" s="53" t="s">
        <v>43</v>
      </c>
      <c r="B211" s="54">
        <v>10</v>
      </c>
      <c r="C211" s="153" t="str">
        <f t="shared" si="30"/>
        <v>0h50min</v>
      </c>
      <c r="D211" s="166" t="s">
        <v>82</v>
      </c>
      <c r="E211" s="231"/>
      <c r="F211" s="232"/>
      <c r="G211" s="51"/>
    </row>
    <row r="212" spans="1:7" s="52" customFormat="1" x14ac:dyDescent="0.3">
      <c r="A212" s="54" t="s">
        <v>14</v>
      </c>
      <c r="B212" s="54">
        <v>5</v>
      </c>
      <c r="C212" s="154" t="str">
        <f t="shared" si="30"/>
        <v>0h25min</v>
      </c>
      <c r="D212" s="55" t="s">
        <v>79</v>
      </c>
      <c r="E212" s="231"/>
      <c r="F212" s="232"/>
      <c r="G212" s="51"/>
    </row>
    <row r="213" spans="1:7" s="52" customFormat="1" ht="27" x14ac:dyDescent="0.3">
      <c r="A213" s="54" t="s">
        <v>51</v>
      </c>
      <c r="B213" s="54">
        <v>4</v>
      </c>
      <c r="C213" s="154" t="str">
        <f t="shared" si="30"/>
        <v>0h20min</v>
      </c>
      <c r="D213" s="166" t="s">
        <v>76</v>
      </c>
      <c r="E213" s="231"/>
      <c r="F213" s="232"/>
      <c r="G213" s="51"/>
    </row>
    <row r="214" spans="1:7" s="52" customFormat="1" x14ac:dyDescent="0.3">
      <c r="A214" s="54"/>
      <c r="B214" s="54"/>
      <c r="C214" s="154" t="str">
        <f t="shared" si="30"/>
        <v/>
      </c>
      <c r="D214" s="55"/>
      <c r="E214" s="231"/>
      <c r="F214" s="232"/>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7" t="s">
        <v>12</v>
      </c>
      <c r="F219" s="228"/>
      <c r="G219" s="46"/>
    </row>
    <row r="220" spans="1:7" s="52" customFormat="1" x14ac:dyDescent="0.3">
      <c r="A220" s="48" t="s">
        <v>55</v>
      </c>
      <c r="B220" s="49">
        <v>35</v>
      </c>
      <c r="C220" s="152" t="str">
        <f xml:space="preserve"> IF(B220="","",setValueToTime(B220))</f>
        <v>2h55min</v>
      </c>
      <c r="D220" s="165" t="s">
        <v>81</v>
      </c>
      <c r="E220" s="229"/>
      <c r="F220" s="230"/>
      <c r="G220" s="51"/>
    </row>
    <row r="221" spans="1:7" s="52" customFormat="1" x14ac:dyDescent="0.3">
      <c r="A221" s="53" t="s">
        <v>43</v>
      </c>
      <c r="B221" s="54">
        <v>10</v>
      </c>
      <c r="C221" s="153" t="str">
        <f t="shared" ref="C221:C227" si="31" xml:space="preserve"> IF(B221="","",setValueToTime(B221))</f>
        <v>0h50min</v>
      </c>
      <c r="D221" s="166" t="s">
        <v>82</v>
      </c>
      <c r="E221" s="231"/>
      <c r="F221" s="232"/>
      <c r="G221" s="51"/>
    </row>
    <row r="222" spans="1:7" s="52" customFormat="1" x14ac:dyDescent="0.3">
      <c r="A222" s="53"/>
      <c r="B222" s="54"/>
      <c r="C222" s="153" t="str">
        <f t="shared" si="31"/>
        <v/>
      </c>
      <c r="D222" s="166"/>
      <c r="E222" s="231"/>
      <c r="F222" s="232"/>
      <c r="G222" s="51"/>
    </row>
    <row r="223" spans="1:7" s="52" customFormat="1" x14ac:dyDescent="0.3">
      <c r="A223" s="53"/>
      <c r="B223" s="54"/>
      <c r="C223" s="153" t="str">
        <f t="shared" si="31"/>
        <v/>
      </c>
      <c r="D223" s="55"/>
      <c r="E223" s="231"/>
      <c r="F223" s="232"/>
      <c r="G223" s="51"/>
    </row>
    <row r="224" spans="1:7" s="52" customFormat="1" x14ac:dyDescent="0.3">
      <c r="A224" s="54"/>
      <c r="B224" s="54"/>
      <c r="C224" s="154" t="str">
        <f t="shared" si="31"/>
        <v/>
      </c>
      <c r="D224" s="55"/>
      <c r="E224" s="231"/>
      <c r="F224" s="232"/>
      <c r="G224" s="51"/>
    </row>
    <row r="225" spans="1:7" s="52" customFormat="1" x14ac:dyDescent="0.3">
      <c r="A225" s="54"/>
      <c r="B225" s="54"/>
      <c r="C225" s="154" t="str">
        <f t="shared" si="31"/>
        <v/>
      </c>
      <c r="D225" s="55"/>
      <c r="E225" s="231"/>
      <c r="F225" s="232"/>
      <c r="G225" s="51"/>
    </row>
    <row r="226" spans="1:7" s="52" customFormat="1" x14ac:dyDescent="0.3">
      <c r="A226" s="54"/>
      <c r="B226" s="54"/>
      <c r="C226" s="154" t="str">
        <f t="shared" si="31"/>
        <v/>
      </c>
      <c r="D226" s="55"/>
      <c r="E226" s="231"/>
      <c r="F226" s="232"/>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7" t="s">
        <v>12</v>
      </c>
      <c r="F231" s="228"/>
      <c r="G231" s="46"/>
    </row>
    <row r="232" spans="1:7" s="52" customFormat="1" x14ac:dyDescent="0.3">
      <c r="A232" s="48" t="s">
        <v>42</v>
      </c>
      <c r="B232" s="49">
        <v>32</v>
      </c>
      <c r="C232" s="152" t="str">
        <f xml:space="preserve"> IF(B232="","",setValueToTime(B232))</f>
        <v>2h40min</v>
      </c>
      <c r="D232" s="165" t="s">
        <v>78</v>
      </c>
      <c r="E232" s="229"/>
      <c r="F232" s="230"/>
      <c r="G232" s="51"/>
    </row>
    <row r="233" spans="1:7" s="52" customFormat="1" x14ac:dyDescent="0.3">
      <c r="A233" s="53" t="s">
        <v>62</v>
      </c>
      <c r="B233" s="54">
        <v>4</v>
      </c>
      <c r="C233" s="153" t="str">
        <f t="shared" ref="C233:C239" si="32" xml:space="preserve"> IF(B233="","",setValueToTime(B233))</f>
        <v>0h20min</v>
      </c>
      <c r="D233" s="166" t="s">
        <v>75</v>
      </c>
      <c r="E233" s="231"/>
      <c r="F233" s="232"/>
      <c r="G233" s="51"/>
    </row>
    <row r="234" spans="1:7" s="52" customFormat="1" x14ac:dyDescent="0.3">
      <c r="A234" s="53"/>
      <c r="B234" s="54"/>
      <c r="C234" s="153" t="str">
        <f t="shared" si="32"/>
        <v/>
      </c>
      <c r="D234" s="55"/>
      <c r="E234" s="231"/>
      <c r="F234" s="232"/>
      <c r="G234" s="51"/>
    </row>
    <row r="235" spans="1:7" s="52" customFormat="1" x14ac:dyDescent="0.3">
      <c r="A235" s="53"/>
      <c r="B235" s="54"/>
      <c r="C235" s="153" t="str">
        <f t="shared" si="32"/>
        <v/>
      </c>
      <c r="D235" s="55"/>
      <c r="E235" s="231"/>
      <c r="F235" s="232"/>
      <c r="G235" s="51"/>
    </row>
    <row r="236" spans="1:7" s="52" customFormat="1" x14ac:dyDescent="0.3">
      <c r="A236" s="54"/>
      <c r="B236" s="54"/>
      <c r="C236" s="154" t="str">
        <f t="shared" si="32"/>
        <v/>
      </c>
      <c r="D236" s="55"/>
      <c r="E236" s="231"/>
      <c r="F236" s="232"/>
      <c r="G236" s="51"/>
    </row>
    <row r="237" spans="1:7" s="52" customFormat="1" x14ac:dyDescent="0.3">
      <c r="A237" s="54"/>
      <c r="B237" s="54"/>
      <c r="C237" s="154" t="str">
        <f t="shared" si="32"/>
        <v/>
      </c>
      <c r="D237" s="55"/>
      <c r="E237" s="231"/>
      <c r="F237" s="232"/>
      <c r="G237" s="51"/>
    </row>
    <row r="238" spans="1:7" s="52" customFormat="1" x14ac:dyDescent="0.3">
      <c r="A238" s="54"/>
      <c r="B238" s="54"/>
      <c r="C238" s="154" t="str">
        <f t="shared" si="32"/>
        <v/>
      </c>
      <c r="D238" s="55"/>
      <c r="E238" s="231"/>
      <c r="F238" s="232"/>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7" t="s">
        <v>12</v>
      </c>
      <c r="F243" s="228"/>
      <c r="G243" s="46"/>
    </row>
    <row r="244" spans="1:7" s="52" customFormat="1" x14ac:dyDescent="0.3">
      <c r="A244" s="48" t="s">
        <v>42</v>
      </c>
      <c r="B244" s="49">
        <v>22</v>
      </c>
      <c r="C244" s="152" t="str">
        <f xml:space="preserve"> IF(B244="","",setValueToTime(B244))</f>
        <v>1h50min</v>
      </c>
      <c r="D244" s="165" t="s">
        <v>80</v>
      </c>
      <c r="E244" s="229"/>
      <c r="F244" s="230"/>
      <c r="G244" s="51"/>
    </row>
    <row r="245" spans="1:7" s="52" customFormat="1" ht="27" x14ac:dyDescent="0.3">
      <c r="A245" s="53" t="s">
        <v>51</v>
      </c>
      <c r="B245" s="54">
        <v>4</v>
      </c>
      <c r="C245" s="153" t="str">
        <f t="shared" ref="C245:C251" si="33" xml:space="preserve"> IF(B245="","",setValueToTime(B245))</f>
        <v>0h20min</v>
      </c>
      <c r="D245" s="166" t="s">
        <v>76</v>
      </c>
      <c r="E245" s="231"/>
      <c r="F245" s="232"/>
      <c r="G245" s="51"/>
    </row>
    <row r="246" spans="1:7" s="52" customFormat="1" x14ac:dyDescent="0.3">
      <c r="A246" s="53" t="s">
        <v>15</v>
      </c>
      <c r="B246" s="54">
        <v>4</v>
      </c>
      <c r="C246" s="153" t="str">
        <f t="shared" si="33"/>
        <v>0h20min</v>
      </c>
      <c r="D246" s="166" t="s">
        <v>63</v>
      </c>
      <c r="E246" s="231"/>
      <c r="F246" s="232"/>
      <c r="G246" s="51"/>
    </row>
    <row r="247" spans="1:7" s="52" customFormat="1" x14ac:dyDescent="0.3">
      <c r="A247" s="53" t="s">
        <v>44</v>
      </c>
      <c r="B247" s="54">
        <v>1</v>
      </c>
      <c r="C247" s="153" t="str">
        <f t="shared" si="33"/>
        <v>0h5min</v>
      </c>
      <c r="D247" s="166" t="s">
        <v>77</v>
      </c>
      <c r="E247" s="231"/>
      <c r="F247" s="232"/>
      <c r="G247" s="51"/>
    </row>
    <row r="248" spans="1:7" s="52" customFormat="1" x14ac:dyDescent="0.3">
      <c r="A248" s="54" t="s">
        <v>62</v>
      </c>
      <c r="B248" s="54">
        <v>5</v>
      </c>
      <c r="C248" s="154" t="str">
        <f t="shared" si="33"/>
        <v>0h25min</v>
      </c>
      <c r="D248" s="166" t="s">
        <v>75</v>
      </c>
      <c r="E248" s="231"/>
      <c r="F248" s="232"/>
      <c r="G248" s="51"/>
    </row>
    <row r="249" spans="1:7" s="52" customFormat="1" x14ac:dyDescent="0.3">
      <c r="A249" s="54"/>
      <c r="B249" s="54"/>
      <c r="C249" s="154" t="str">
        <f t="shared" si="33"/>
        <v/>
      </c>
      <c r="D249" s="55"/>
      <c r="E249" s="231"/>
      <c r="F249" s="232"/>
      <c r="G249" s="51"/>
    </row>
    <row r="250" spans="1:7" s="52" customFormat="1" x14ac:dyDescent="0.3">
      <c r="A250" s="54"/>
      <c r="B250" s="54"/>
      <c r="C250" s="154" t="str">
        <f t="shared" si="33"/>
        <v/>
      </c>
      <c r="D250" s="55"/>
      <c r="E250" s="231"/>
      <c r="F250" s="232"/>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7" t="s">
        <v>12</v>
      </c>
      <c r="F255" s="228"/>
      <c r="G255" s="46"/>
    </row>
    <row r="256" spans="1:7" s="52" customFormat="1" x14ac:dyDescent="0.3">
      <c r="A256" s="48" t="s">
        <v>42</v>
      </c>
      <c r="B256" s="49">
        <v>9</v>
      </c>
      <c r="C256" s="152" t="str">
        <f xml:space="preserve"> IF(B256="","",setValueToTime(B256))</f>
        <v>0h45min</v>
      </c>
      <c r="D256" s="165" t="s">
        <v>80</v>
      </c>
      <c r="E256" s="229"/>
      <c r="F256" s="230"/>
      <c r="G256" s="51"/>
    </row>
    <row r="257" spans="1:7" s="52" customFormat="1" ht="27" x14ac:dyDescent="0.3">
      <c r="A257" s="53" t="s">
        <v>14</v>
      </c>
      <c r="B257" s="54">
        <v>36</v>
      </c>
      <c r="C257" s="153" t="str">
        <f t="shared" ref="C257:C263" si="34" xml:space="preserve"> IF(B257="","",setValueToTime(B257))</f>
        <v>3h</v>
      </c>
      <c r="D257" s="166" t="s">
        <v>90</v>
      </c>
      <c r="E257" s="231"/>
      <c r="F257" s="232"/>
      <c r="G257" s="51"/>
    </row>
    <row r="258" spans="1:7" s="52" customFormat="1" x14ac:dyDescent="0.3">
      <c r="A258" s="53"/>
      <c r="B258" s="54"/>
      <c r="C258" s="153" t="str">
        <f t="shared" si="34"/>
        <v/>
      </c>
      <c r="D258" s="55"/>
      <c r="E258" s="231"/>
      <c r="F258" s="232"/>
      <c r="G258" s="51"/>
    </row>
    <row r="259" spans="1:7" s="52" customFormat="1" x14ac:dyDescent="0.3">
      <c r="A259" s="53"/>
      <c r="B259" s="54"/>
      <c r="C259" s="153" t="str">
        <f t="shared" si="34"/>
        <v/>
      </c>
      <c r="D259" s="55"/>
      <c r="E259" s="231"/>
      <c r="F259" s="232"/>
      <c r="G259" s="51"/>
    </row>
    <row r="260" spans="1:7" s="52" customFormat="1" x14ac:dyDescent="0.3">
      <c r="A260" s="54"/>
      <c r="B260" s="54"/>
      <c r="C260" s="154" t="str">
        <f t="shared" si="34"/>
        <v/>
      </c>
      <c r="D260" s="55"/>
      <c r="E260" s="231"/>
      <c r="F260" s="232"/>
      <c r="G260" s="51"/>
    </row>
    <row r="261" spans="1:7" s="52" customFormat="1" x14ac:dyDescent="0.3">
      <c r="A261" s="54"/>
      <c r="B261" s="54"/>
      <c r="C261" s="154" t="str">
        <f t="shared" si="34"/>
        <v/>
      </c>
      <c r="D261" s="55"/>
      <c r="E261" s="231"/>
      <c r="F261" s="232"/>
      <c r="G261" s="51"/>
    </row>
    <row r="262" spans="1:7" s="52" customFormat="1" x14ac:dyDescent="0.3">
      <c r="A262" s="54"/>
      <c r="B262" s="54"/>
      <c r="C262" s="154" t="str">
        <f t="shared" si="34"/>
        <v/>
      </c>
      <c r="D262" s="55"/>
      <c r="E262" s="231"/>
      <c r="F262" s="232"/>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7" t="s">
        <v>12</v>
      </c>
      <c r="F267" s="228"/>
      <c r="G267" s="46"/>
    </row>
    <row r="268" spans="1:7" s="52" customFormat="1" ht="27" x14ac:dyDescent="0.3">
      <c r="A268" s="48" t="s">
        <v>57</v>
      </c>
      <c r="B268" s="49">
        <v>20</v>
      </c>
      <c r="C268" s="152" t="str">
        <f xml:space="preserve"> IF(B268="","",setValueToTime(B268))</f>
        <v>1h40min</v>
      </c>
      <c r="D268" s="166" t="s">
        <v>65</v>
      </c>
      <c r="E268" s="229"/>
      <c r="F268" s="230"/>
      <c r="G268" s="51"/>
    </row>
    <row r="269" spans="1:7" s="52" customFormat="1" x14ac:dyDescent="0.3">
      <c r="A269" s="53" t="s">
        <v>14</v>
      </c>
      <c r="B269" s="54">
        <v>11</v>
      </c>
      <c r="C269" s="153" t="str">
        <f t="shared" ref="C269:C275" si="35" xml:space="preserve"> IF(B269="","",setValueToTime(B269))</f>
        <v>0h55min</v>
      </c>
      <c r="D269" s="166" t="s">
        <v>66</v>
      </c>
      <c r="E269" s="231"/>
      <c r="F269" s="232"/>
      <c r="G269" s="51"/>
    </row>
    <row r="270" spans="1:7" s="52" customFormat="1" x14ac:dyDescent="0.3">
      <c r="A270" s="53" t="s">
        <v>15</v>
      </c>
      <c r="B270" s="54">
        <v>4</v>
      </c>
      <c r="C270" s="153" t="str">
        <f t="shared" si="35"/>
        <v>0h20min</v>
      </c>
      <c r="D270" s="166" t="s">
        <v>68</v>
      </c>
      <c r="E270" s="231"/>
      <c r="F270" s="232"/>
      <c r="G270" s="51"/>
    </row>
    <row r="271" spans="1:7" s="52" customFormat="1" x14ac:dyDescent="0.3">
      <c r="A271" s="53" t="s">
        <v>44</v>
      </c>
      <c r="B271" s="54">
        <v>1</v>
      </c>
      <c r="C271" s="153" t="str">
        <f t="shared" si="35"/>
        <v>0h5min</v>
      </c>
      <c r="D271" s="166" t="s">
        <v>67</v>
      </c>
      <c r="E271" s="231"/>
      <c r="F271" s="232"/>
      <c r="G271" s="51"/>
    </row>
    <row r="272" spans="1:7" s="52" customFormat="1" x14ac:dyDescent="0.3">
      <c r="A272" s="54"/>
      <c r="B272" s="54"/>
      <c r="C272" s="154" t="str">
        <f t="shared" si="35"/>
        <v/>
      </c>
      <c r="D272" s="55"/>
      <c r="E272" s="231"/>
      <c r="F272" s="232"/>
      <c r="G272" s="51"/>
    </row>
    <row r="273" spans="1:7" s="52" customFormat="1" x14ac:dyDescent="0.3">
      <c r="A273" s="54"/>
      <c r="B273" s="54"/>
      <c r="C273" s="154" t="str">
        <f t="shared" si="35"/>
        <v/>
      </c>
      <c r="D273" s="55"/>
      <c r="E273" s="231"/>
      <c r="F273" s="232"/>
      <c r="G273" s="51"/>
    </row>
    <row r="274" spans="1:7" s="52" customFormat="1" x14ac:dyDescent="0.3">
      <c r="A274" s="54"/>
      <c r="B274" s="54"/>
      <c r="C274" s="154" t="str">
        <f t="shared" si="35"/>
        <v/>
      </c>
      <c r="D274" s="55"/>
      <c r="E274" s="231"/>
      <c r="F274" s="232"/>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7" t="s">
        <v>12</v>
      </c>
      <c r="F279" s="228"/>
      <c r="G279" s="46"/>
    </row>
    <row r="280" spans="1:7" s="52" customFormat="1" x14ac:dyDescent="0.3">
      <c r="A280" s="48" t="s">
        <v>62</v>
      </c>
      <c r="B280" s="49">
        <v>21</v>
      </c>
      <c r="C280" s="152" t="str">
        <f xml:space="preserve"> IF(B280="","",setValueToTime(B280))</f>
        <v>1h45min</v>
      </c>
      <c r="D280" s="165" t="s">
        <v>64</v>
      </c>
      <c r="E280" s="229"/>
      <c r="F280" s="230"/>
      <c r="G280" s="51"/>
    </row>
    <row r="281" spans="1:7" s="52" customFormat="1" ht="27" x14ac:dyDescent="0.3">
      <c r="A281" s="53" t="s">
        <v>57</v>
      </c>
      <c r="B281" s="54">
        <v>14</v>
      </c>
      <c r="C281" s="153" t="str">
        <f t="shared" ref="C281:C287" si="36" xml:space="preserve"> IF(B281="","",setValueToTime(B281))</f>
        <v>1h10min</v>
      </c>
      <c r="D281" s="166" t="s">
        <v>65</v>
      </c>
      <c r="E281" s="231"/>
      <c r="F281" s="232"/>
      <c r="G281" s="51"/>
    </row>
    <row r="282" spans="1:7" s="52" customFormat="1" x14ac:dyDescent="0.3">
      <c r="A282" s="53" t="s">
        <v>41</v>
      </c>
      <c r="B282" s="54">
        <v>10</v>
      </c>
      <c r="C282" s="153" t="str">
        <f t="shared" si="36"/>
        <v>0h50min</v>
      </c>
      <c r="D282" s="166" t="s">
        <v>74</v>
      </c>
      <c r="E282" s="231"/>
      <c r="F282" s="232"/>
      <c r="G282" s="51"/>
    </row>
    <row r="283" spans="1:7" s="52" customFormat="1" x14ac:dyDescent="0.3">
      <c r="A283" s="53"/>
      <c r="B283" s="54"/>
      <c r="C283" s="153" t="str">
        <f t="shared" si="36"/>
        <v/>
      </c>
      <c r="D283" s="55"/>
      <c r="E283" s="231"/>
      <c r="F283" s="232"/>
      <c r="G283" s="51"/>
    </row>
    <row r="284" spans="1:7" s="52" customFormat="1" x14ac:dyDescent="0.3">
      <c r="A284" s="54"/>
      <c r="B284" s="54"/>
      <c r="C284" s="154" t="str">
        <f t="shared" si="36"/>
        <v/>
      </c>
      <c r="D284" s="55"/>
      <c r="E284" s="231"/>
      <c r="F284" s="232"/>
      <c r="G284" s="51"/>
    </row>
    <row r="285" spans="1:7" s="52" customFormat="1" x14ac:dyDescent="0.3">
      <c r="A285" s="54"/>
      <c r="B285" s="54"/>
      <c r="C285" s="154" t="str">
        <f t="shared" si="36"/>
        <v/>
      </c>
      <c r="D285" s="55"/>
      <c r="E285" s="231"/>
      <c r="F285" s="232"/>
      <c r="G285" s="51"/>
    </row>
    <row r="286" spans="1:7" s="52" customFormat="1" x14ac:dyDescent="0.3">
      <c r="A286" s="54"/>
      <c r="B286" s="54"/>
      <c r="C286" s="154" t="str">
        <f t="shared" si="36"/>
        <v/>
      </c>
      <c r="D286" s="55"/>
      <c r="E286" s="231"/>
      <c r="F286" s="232"/>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7" t="s">
        <v>12</v>
      </c>
      <c r="F291" s="228"/>
      <c r="G291" s="46"/>
    </row>
    <row r="292" spans="1:7" s="52" customFormat="1" x14ac:dyDescent="0.3">
      <c r="A292" s="48" t="s">
        <v>44</v>
      </c>
      <c r="B292" s="49">
        <v>5</v>
      </c>
      <c r="C292" s="152" t="str">
        <f xml:space="preserve"> IF(B292="","",setValueToTime(B292))</f>
        <v>0h25min</v>
      </c>
      <c r="D292" s="165" t="s">
        <v>59</v>
      </c>
      <c r="E292" s="229"/>
      <c r="F292" s="230"/>
      <c r="G292" s="51"/>
    </row>
    <row r="293" spans="1:7" s="52" customFormat="1" x14ac:dyDescent="0.3">
      <c r="A293" s="53" t="s">
        <v>14</v>
      </c>
      <c r="B293" s="54">
        <v>10</v>
      </c>
      <c r="C293" s="153" t="str">
        <f t="shared" ref="C293:C299" si="37" xml:space="preserve"> IF(B293="","",setValueToTime(B293))</f>
        <v>0h50min</v>
      </c>
      <c r="D293" s="166" t="s">
        <v>61</v>
      </c>
      <c r="E293" s="231"/>
      <c r="F293" s="232"/>
      <c r="G293" s="51"/>
    </row>
    <row r="294" spans="1:7" s="52" customFormat="1" ht="27" x14ac:dyDescent="0.3">
      <c r="A294" s="53" t="s">
        <v>51</v>
      </c>
      <c r="B294" s="54">
        <v>4</v>
      </c>
      <c r="C294" s="153" t="str">
        <f t="shared" ref="C294:C296" si="38" xml:space="preserve"> IF(B294="","",setValueToTime(B294))</f>
        <v>0h20min</v>
      </c>
      <c r="D294" s="166" t="s">
        <v>76</v>
      </c>
      <c r="E294" s="231"/>
      <c r="F294" s="232"/>
      <c r="G294" s="51"/>
    </row>
    <row r="295" spans="1:7" s="52" customFormat="1" x14ac:dyDescent="0.3">
      <c r="A295" s="54" t="s">
        <v>15</v>
      </c>
      <c r="B295" s="54">
        <v>4</v>
      </c>
      <c r="C295" s="154" t="str">
        <f t="shared" si="38"/>
        <v>0h20min</v>
      </c>
      <c r="D295" s="166" t="s">
        <v>63</v>
      </c>
      <c r="E295" s="231"/>
      <c r="F295" s="232"/>
      <c r="G295" s="51"/>
    </row>
    <row r="296" spans="1:7" s="52" customFormat="1" x14ac:dyDescent="0.3">
      <c r="A296" s="54" t="s">
        <v>40</v>
      </c>
      <c r="B296" s="54">
        <v>13</v>
      </c>
      <c r="C296" s="154" t="str">
        <f t="shared" si="38"/>
        <v>1h5min</v>
      </c>
      <c r="D296" s="166" t="s">
        <v>72</v>
      </c>
      <c r="E296" s="231"/>
      <c r="F296" s="232"/>
      <c r="G296" s="51"/>
    </row>
    <row r="297" spans="1:7" s="52" customFormat="1" x14ac:dyDescent="0.3">
      <c r="A297" s="54"/>
      <c r="B297" s="54"/>
      <c r="C297" s="154" t="str">
        <f t="shared" si="37"/>
        <v/>
      </c>
      <c r="D297" s="166"/>
      <c r="E297" s="231"/>
      <c r="F297" s="232"/>
      <c r="G297" s="51"/>
    </row>
    <row r="298" spans="1:7" s="52" customFormat="1" x14ac:dyDescent="0.3">
      <c r="A298" s="54"/>
      <c r="B298" s="54"/>
      <c r="C298" s="154" t="str">
        <f t="shared" si="37"/>
        <v/>
      </c>
      <c r="D298" s="55"/>
      <c r="E298" s="231"/>
      <c r="F298" s="232"/>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7" t="s">
        <v>12</v>
      </c>
      <c r="F303" s="228"/>
      <c r="G303" s="46"/>
    </row>
    <row r="304" spans="1:7" s="52" customFormat="1" x14ac:dyDescent="0.3">
      <c r="A304" s="48" t="s">
        <v>69</v>
      </c>
      <c r="B304" s="49">
        <v>18</v>
      </c>
      <c r="C304" s="152" t="str">
        <f xml:space="preserve"> IF(B304="","",setValueToTime(B304))</f>
        <v>1h30min</v>
      </c>
      <c r="D304" s="165" t="s">
        <v>70</v>
      </c>
      <c r="E304" s="229"/>
      <c r="F304" s="230"/>
      <c r="G304" s="51"/>
    </row>
    <row r="305" spans="1:7" s="52" customFormat="1" x14ac:dyDescent="0.3">
      <c r="A305" s="168" t="s">
        <v>41</v>
      </c>
      <c r="B305" s="54">
        <v>10</v>
      </c>
      <c r="C305" s="153" t="str">
        <f t="shared" ref="C305:C311" si="39" xml:space="preserve"> IF(B305="","",setValueToTime(B305))</f>
        <v>0h50min</v>
      </c>
      <c r="D305" s="166" t="s">
        <v>58</v>
      </c>
      <c r="E305" s="231"/>
      <c r="F305" s="232"/>
      <c r="G305" s="51"/>
    </row>
    <row r="306" spans="1:7" s="52" customFormat="1" x14ac:dyDescent="0.3">
      <c r="A306" s="53" t="s">
        <v>14</v>
      </c>
      <c r="B306" s="54">
        <v>12</v>
      </c>
      <c r="C306" s="153" t="str">
        <f t="shared" si="39"/>
        <v>1h</v>
      </c>
      <c r="D306" s="166" t="s">
        <v>60</v>
      </c>
      <c r="E306" s="231"/>
      <c r="F306" s="232"/>
      <c r="G306" s="51"/>
    </row>
    <row r="307" spans="1:7" s="52" customFormat="1" x14ac:dyDescent="0.3">
      <c r="A307" s="53" t="s">
        <v>40</v>
      </c>
      <c r="B307" s="54">
        <v>5</v>
      </c>
      <c r="C307" s="153" t="str">
        <f t="shared" si="39"/>
        <v>0h25min</v>
      </c>
      <c r="D307" s="166" t="s">
        <v>71</v>
      </c>
      <c r="E307" s="231"/>
      <c r="F307" s="232"/>
      <c r="G307" s="51"/>
    </row>
    <row r="308" spans="1:7" s="52" customFormat="1" x14ac:dyDescent="0.3">
      <c r="A308" s="54"/>
      <c r="B308" s="54"/>
      <c r="C308" s="154" t="str">
        <f t="shared" si="39"/>
        <v/>
      </c>
      <c r="D308" s="55"/>
      <c r="E308" s="231"/>
      <c r="F308" s="232"/>
      <c r="G308" s="51"/>
    </row>
    <row r="309" spans="1:7" s="52" customFormat="1" x14ac:dyDescent="0.3">
      <c r="A309" s="54"/>
      <c r="B309" s="54"/>
      <c r="C309" s="154" t="str">
        <f t="shared" si="39"/>
        <v/>
      </c>
      <c r="D309" s="55"/>
      <c r="E309" s="231"/>
      <c r="F309" s="232"/>
      <c r="G309" s="51"/>
    </row>
    <row r="310" spans="1:7" s="52" customFormat="1" x14ac:dyDescent="0.3">
      <c r="A310" s="54"/>
      <c r="B310" s="54"/>
      <c r="C310" s="154" t="str">
        <f t="shared" si="39"/>
        <v/>
      </c>
      <c r="D310" s="55"/>
      <c r="E310" s="231"/>
      <c r="F310" s="232"/>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7" t="s">
        <v>12</v>
      </c>
      <c r="F315" s="228"/>
      <c r="G315" s="46"/>
    </row>
    <row r="316" spans="1:7" s="52" customFormat="1" ht="27" x14ac:dyDescent="0.3">
      <c r="A316" s="48" t="s">
        <v>51</v>
      </c>
      <c r="B316" s="49">
        <v>15</v>
      </c>
      <c r="C316" s="152" t="str">
        <f xml:space="preserve"> IF(B316="","",setValueToTime(B316))</f>
        <v>1h15min</v>
      </c>
      <c r="D316" s="165" t="s">
        <v>53</v>
      </c>
      <c r="E316" s="229"/>
      <c r="F316" s="230"/>
      <c r="G316" s="51"/>
    </row>
    <row r="317" spans="1:7" s="52" customFormat="1" x14ac:dyDescent="0.3">
      <c r="A317" s="53" t="s">
        <v>14</v>
      </c>
      <c r="B317" s="54">
        <v>21</v>
      </c>
      <c r="C317" s="153" t="str">
        <f t="shared" ref="C317:C323" si="40" xml:space="preserve"> IF(B317="","",setValueToTime(B317))</f>
        <v>1h45min</v>
      </c>
      <c r="D317" s="166" t="s">
        <v>54</v>
      </c>
      <c r="E317" s="231"/>
      <c r="F317" s="232"/>
      <c r="G317" s="51"/>
    </row>
    <row r="318" spans="1:7" s="52" customFormat="1" x14ac:dyDescent="0.3">
      <c r="A318" s="53"/>
      <c r="B318" s="54"/>
      <c r="C318" s="153" t="str">
        <f t="shared" si="40"/>
        <v/>
      </c>
      <c r="D318" s="166"/>
      <c r="E318" s="231"/>
      <c r="F318" s="232"/>
      <c r="G318" s="51"/>
    </row>
    <row r="319" spans="1:7" s="52" customFormat="1" x14ac:dyDescent="0.3">
      <c r="A319" s="53"/>
      <c r="B319" s="54"/>
      <c r="C319" s="153" t="str">
        <f t="shared" si="40"/>
        <v/>
      </c>
      <c r="D319" s="55"/>
      <c r="E319" s="231"/>
      <c r="F319" s="232"/>
      <c r="G319" s="51"/>
    </row>
    <row r="320" spans="1:7" s="52" customFormat="1" x14ac:dyDescent="0.3">
      <c r="A320" s="54"/>
      <c r="B320" s="54"/>
      <c r="C320" s="154" t="str">
        <f t="shared" si="40"/>
        <v/>
      </c>
      <c r="D320" s="55"/>
      <c r="E320" s="231"/>
      <c r="F320" s="232"/>
      <c r="G320" s="51"/>
    </row>
    <row r="321" spans="1:7" s="52" customFormat="1" x14ac:dyDescent="0.3">
      <c r="A321" s="54"/>
      <c r="B321" s="54"/>
      <c r="C321" s="154" t="str">
        <f t="shared" si="40"/>
        <v/>
      </c>
      <c r="D321" s="55"/>
      <c r="E321" s="231"/>
      <c r="F321" s="232"/>
      <c r="G321" s="51"/>
    </row>
    <row r="322" spans="1:7" s="52" customFormat="1" x14ac:dyDescent="0.3">
      <c r="A322" s="54"/>
      <c r="B322" s="54"/>
      <c r="C322" s="154" t="str">
        <f t="shared" si="40"/>
        <v/>
      </c>
      <c r="D322" s="55"/>
      <c r="E322" s="231"/>
      <c r="F322" s="232"/>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47" priority="36" operator="greaterThan">
      <formula>60</formula>
    </cfRule>
  </conditionalFormatting>
  <conditionalFormatting sqref="B312">
    <cfRule type="cellIs" dxfId="46" priority="35" operator="greaterThan">
      <formula>60</formula>
    </cfRule>
  </conditionalFormatting>
  <conditionalFormatting sqref="B300">
    <cfRule type="cellIs" dxfId="45" priority="34" operator="greaterThan">
      <formula>60</formula>
    </cfRule>
  </conditionalFormatting>
  <conditionalFormatting sqref="B288">
    <cfRule type="cellIs" dxfId="44" priority="33" operator="greaterThan">
      <formula>60</formula>
    </cfRule>
  </conditionalFormatting>
  <conditionalFormatting sqref="B276">
    <cfRule type="cellIs" dxfId="43" priority="32" operator="greaterThan">
      <formula>60</formula>
    </cfRule>
  </conditionalFormatting>
  <conditionalFormatting sqref="B264">
    <cfRule type="cellIs" dxfId="42" priority="31" operator="greaterThan">
      <formula>60</formula>
    </cfRule>
  </conditionalFormatting>
  <conditionalFormatting sqref="B252">
    <cfRule type="cellIs" dxfId="41" priority="30" operator="greaterThan">
      <formula>60</formula>
    </cfRule>
  </conditionalFormatting>
  <conditionalFormatting sqref="B240">
    <cfRule type="cellIs" dxfId="40" priority="29" operator="greaterThan">
      <formula>60</formula>
    </cfRule>
  </conditionalFormatting>
  <conditionalFormatting sqref="B228">
    <cfRule type="cellIs" dxfId="39" priority="28" operator="greaterThan">
      <formula>60</formula>
    </cfRule>
  </conditionalFormatting>
  <conditionalFormatting sqref="B216">
    <cfRule type="cellIs" dxfId="38" priority="27" operator="greaterThan">
      <formula>60</formula>
    </cfRule>
  </conditionalFormatting>
  <conditionalFormatting sqref="B204">
    <cfRule type="cellIs" dxfId="37" priority="26" operator="greaterThan">
      <formula>60</formula>
    </cfRule>
  </conditionalFormatting>
  <conditionalFormatting sqref="B192">
    <cfRule type="cellIs" dxfId="36" priority="25" operator="greaterThan">
      <formula>60</formula>
    </cfRule>
  </conditionalFormatting>
  <conditionalFormatting sqref="B180">
    <cfRule type="cellIs" dxfId="35" priority="24" operator="greaterThan">
      <formula>60</formula>
    </cfRule>
  </conditionalFormatting>
  <conditionalFormatting sqref="B168">
    <cfRule type="cellIs" dxfId="34" priority="23" operator="greaterThan">
      <formula>60</formula>
    </cfRule>
  </conditionalFormatting>
  <conditionalFormatting sqref="B156">
    <cfRule type="cellIs" dxfId="33" priority="22" operator="greaterThan">
      <formula>60</formula>
    </cfRule>
  </conditionalFormatting>
  <conditionalFormatting sqref="B144">
    <cfRule type="cellIs" dxfId="32" priority="21" operator="greaterThan">
      <formula>60</formula>
    </cfRule>
  </conditionalFormatting>
  <conditionalFormatting sqref="B132">
    <cfRule type="cellIs" dxfId="31" priority="20" operator="greaterThan">
      <formula>60</formula>
    </cfRule>
  </conditionalFormatting>
  <conditionalFormatting sqref="B120">
    <cfRule type="cellIs" dxfId="30" priority="19" operator="greaterThan">
      <formula>60</formula>
    </cfRule>
  </conditionalFormatting>
  <conditionalFormatting sqref="B108">
    <cfRule type="cellIs" dxfId="29" priority="18" operator="greaterThan">
      <formula>60</formula>
    </cfRule>
  </conditionalFormatting>
  <conditionalFormatting sqref="B96">
    <cfRule type="cellIs" dxfId="28" priority="17" operator="greaterThan">
      <formula>60</formula>
    </cfRule>
  </conditionalFormatting>
  <conditionalFormatting sqref="B84">
    <cfRule type="cellIs" dxfId="27" priority="16" operator="greaterThan">
      <formula>60</formula>
    </cfRule>
  </conditionalFormatting>
  <conditionalFormatting sqref="B72">
    <cfRule type="cellIs" dxfId="26" priority="15" operator="greaterThan">
      <formula>60</formula>
    </cfRule>
  </conditionalFormatting>
  <conditionalFormatting sqref="B60">
    <cfRule type="cellIs" dxfId="25" priority="14" operator="greaterThan">
      <formula>60</formula>
    </cfRule>
  </conditionalFormatting>
  <conditionalFormatting sqref="B48">
    <cfRule type="cellIs" dxfId="24" priority="9" operator="greaterThan">
      <formula>60</formula>
    </cfRule>
  </conditionalFormatting>
  <conditionalFormatting sqref="B36">
    <cfRule type="cellIs" dxfId="23" priority="8" operator="greaterThan">
      <formula>60</formula>
    </cfRule>
  </conditionalFormatting>
  <conditionalFormatting sqref="B24">
    <cfRule type="cellIs" dxfId="22" priority="7" operator="greaterThan">
      <formula>60</formula>
    </cfRule>
  </conditionalFormatting>
  <conditionalFormatting sqref="B12">
    <cfRule type="cellIs" dxfId="2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29"/>
  <sheetViews>
    <sheetView showGridLines="0" tabSelected="1" zoomScaleNormal="100" zoomScaleSheetLayoutView="98" workbookViewId="0">
      <pane ySplit="1" topLeftCell="A11" activePane="bottomLeft" state="frozen"/>
      <selection pane="bottomLeft" activeCell="D18" sqref="D1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19</v>
      </c>
      <c r="C2" s="164"/>
      <c r="D2" s="157" t="s">
        <v>13</v>
      </c>
      <c r="E2" s="158" t="s">
        <v>108</v>
      </c>
      <c r="F2" s="159" t="s">
        <v>50</v>
      </c>
      <c r="G2" s="46"/>
    </row>
    <row r="3" spans="1:7" s="47" customFormat="1" ht="30" customHeight="1" thickBot="1" x14ac:dyDescent="0.3">
      <c r="A3" s="78" t="s">
        <v>4</v>
      </c>
      <c r="B3" s="161" t="s">
        <v>38</v>
      </c>
      <c r="C3" s="160"/>
      <c r="D3" s="78" t="s">
        <v>11</v>
      </c>
      <c r="E3" s="239" t="s">
        <v>12</v>
      </c>
      <c r="F3" s="240"/>
      <c r="G3" s="46"/>
    </row>
    <row r="4" spans="1:7" s="52" customFormat="1" ht="54" x14ac:dyDescent="0.3">
      <c r="A4" s="48" t="s">
        <v>55</v>
      </c>
      <c r="B4" s="49">
        <v>20</v>
      </c>
      <c r="C4" s="152" t="str">
        <f xml:space="preserve"> IF(B4="","",setValueToTime(B4))</f>
        <v>1h40min</v>
      </c>
      <c r="D4" s="165" t="s">
        <v>202</v>
      </c>
      <c r="E4" s="241" t="s">
        <v>193</v>
      </c>
      <c r="F4" s="230"/>
      <c r="G4" s="51"/>
    </row>
    <row r="5" spans="1:7" s="52" customFormat="1" ht="27" x14ac:dyDescent="0.3">
      <c r="A5" s="53" t="s">
        <v>15</v>
      </c>
      <c r="B5" s="54">
        <v>5</v>
      </c>
      <c r="C5" s="153" t="str">
        <f t="shared" ref="C5:C11" si="0" xml:space="preserve"> IF(B5="","",setValueToTime(B5))</f>
        <v>0h25min</v>
      </c>
      <c r="D5" s="166" t="s">
        <v>191</v>
      </c>
      <c r="E5" s="242" t="s">
        <v>204</v>
      </c>
      <c r="F5" s="232"/>
      <c r="G5" s="51"/>
    </row>
    <row r="6" spans="1:7" s="52" customFormat="1" x14ac:dyDescent="0.3">
      <c r="A6" s="53" t="s">
        <v>44</v>
      </c>
      <c r="B6" s="54">
        <v>1</v>
      </c>
      <c r="C6" s="153" t="str">
        <f t="shared" si="0"/>
        <v>0h5min</v>
      </c>
      <c r="D6" s="166" t="s">
        <v>77</v>
      </c>
      <c r="E6" s="231"/>
      <c r="F6" s="232"/>
      <c r="G6" s="51"/>
    </row>
    <row r="7" spans="1:7" s="52" customFormat="1" x14ac:dyDescent="0.3">
      <c r="A7" s="53" t="s">
        <v>43</v>
      </c>
      <c r="B7" s="54">
        <v>10</v>
      </c>
      <c r="C7" s="153" t="str">
        <f t="shared" si="0"/>
        <v>0h50min</v>
      </c>
      <c r="D7" s="166" t="s">
        <v>201</v>
      </c>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36</v>
      </c>
      <c r="C12" s="162" t="str">
        <f xml:space="preserve"> setValueToTime(B12)</f>
        <v>3h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18</v>
      </c>
      <c r="C14" s="164"/>
      <c r="D14" s="157" t="s">
        <v>13</v>
      </c>
      <c r="E14" s="158" t="s">
        <v>108</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162" x14ac:dyDescent="0.3">
      <c r="A16" s="48" t="s">
        <v>57</v>
      </c>
      <c r="B16" s="49">
        <v>25</v>
      </c>
      <c r="C16" s="152" t="str">
        <f xml:space="preserve"> IF(B16="","",setValueToTime(B16))</f>
        <v>2h5min</v>
      </c>
      <c r="D16" s="165" t="s">
        <v>200</v>
      </c>
      <c r="E16" s="241" t="s">
        <v>196</v>
      </c>
      <c r="F16" s="230"/>
      <c r="G16" s="51"/>
    </row>
    <row r="17" spans="1:7" s="52" customFormat="1" ht="27" x14ac:dyDescent="0.3">
      <c r="A17" s="53" t="s">
        <v>43</v>
      </c>
      <c r="B17" s="54">
        <v>20</v>
      </c>
      <c r="C17" s="153" t="str">
        <f t="shared" ref="C17:C23" si="1" xml:space="preserve"> IF(B17="","",setValueToTime(B17))</f>
        <v>1h40min</v>
      </c>
      <c r="D17" s="166" t="s">
        <v>205</v>
      </c>
      <c r="E17" s="242" t="s">
        <v>197</v>
      </c>
      <c r="F17" s="232"/>
      <c r="G17" s="51"/>
    </row>
    <row r="18" spans="1:7" s="52" customFormat="1" x14ac:dyDescent="0.3">
      <c r="A18" s="53"/>
      <c r="B18" s="54"/>
      <c r="C18" s="153" t="str">
        <f t="shared" si="1"/>
        <v/>
      </c>
      <c r="D18" s="55"/>
      <c r="E18" s="242" t="s">
        <v>198</v>
      </c>
      <c r="F18" s="232"/>
      <c r="G18" s="51"/>
    </row>
    <row r="19" spans="1:7" s="52" customFormat="1" x14ac:dyDescent="0.3">
      <c r="A19" s="53"/>
      <c r="B19" s="54"/>
      <c r="C19" s="153" t="str">
        <f t="shared" si="1"/>
        <v/>
      </c>
      <c r="D19" s="55"/>
      <c r="E19" s="242" t="s">
        <v>199</v>
      </c>
      <c r="F19" s="232"/>
      <c r="G19" s="51"/>
    </row>
    <row r="20" spans="1:7" s="52" customFormat="1" x14ac:dyDescent="0.3">
      <c r="A20" s="54"/>
      <c r="B20" s="54"/>
      <c r="C20" s="154" t="str">
        <f t="shared" si="1"/>
        <v/>
      </c>
      <c r="D20" s="55"/>
      <c r="E20" s="242" t="s">
        <v>203</v>
      </c>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45</v>
      </c>
      <c r="C24" s="162" t="str">
        <f xml:space="preserve"> setValueToTime(B24)</f>
        <v>3h45min</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17</v>
      </c>
      <c r="C26" s="164"/>
      <c r="D26" s="157" t="s">
        <v>13</v>
      </c>
      <c r="E26" s="158" t="s">
        <v>111</v>
      </c>
      <c r="F26" s="159" t="s">
        <v>50</v>
      </c>
      <c r="G26" s="46"/>
    </row>
    <row r="27" spans="1:7" s="47" customFormat="1" ht="30" customHeight="1" thickBot="1" x14ac:dyDescent="0.3">
      <c r="A27" s="78" t="s">
        <v>4</v>
      </c>
      <c r="B27" s="161" t="s">
        <v>38</v>
      </c>
      <c r="C27" s="160"/>
      <c r="D27" s="78" t="s">
        <v>11</v>
      </c>
      <c r="E27" s="239" t="s">
        <v>12</v>
      </c>
      <c r="F27" s="240"/>
      <c r="G27" s="46"/>
    </row>
    <row r="28" spans="1:7" s="52" customFormat="1" ht="40.5" x14ac:dyDescent="0.3">
      <c r="A28" s="48" t="s">
        <v>51</v>
      </c>
      <c r="B28" s="49">
        <v>4</v>
      </c>
      <c r="C28" s="152" t="str">
        <f xml:space="preserve"> IF(B28="","",setValueToTime(B28))</f>
        <v>0h20min</v>
      </c>
      <c r="D28" s="165" t="s">
        <v>190</v>
      </c>
      <c r="E28" s="241" t="s">
        <v>193</v>
      </c>
      <c r="F28" s="230"/>
      <c r="G28" s="51"/>
    </row>
    <row r="29" spans="1:7" s="52" customFormat="1" ht="27" x14ac:dyDescent="0.3">
      <c r="A29" s="53" t="s">
        <v>15</v>
      </c>
      <c r="B29" s="54">
        <v>4</v>
      </c>
      <c r="C29" s="153" t="str">
        <f t="shared" ref="C29:C35" si="2" xml:space="preserve"> IF(B29="","",setValueToTime(B29))</f>
        <v>0h20min</v>
      </c>
      <c r="D29" s="166" t="s">
        <v>191</v>
      </c>
      <c r="E29" s="242" t="s">
        <v>194</v>
      </c>
      <c r="F29" s="232"/>
      <c r="G29" s="51"/>
    </row>
    <row r="30" spans="1:7" s="52" customFormat="1" x14ac:dyDescent="0.3">
      <c r="A30" s="53" t="s">
        <v>44</v>
      </c>
      <c r="B30" s="54">
        <v>1</v>
      </c>
      <c r="C30" s="153" t="str">
        <f t="shared" si="2"/>
        <v>0h5min</v>
      </c>
      <c r="D30" s="166" t="s">
        <v>77</v>
      </c>
      <c r="E30" s="242" t="s">
        <v>195</v>
      </c>
      <c r="F30" s="232"/>
      <c r="G30" s="51"/>
    </row>
    <row r="31" spans="1:7" s="52" customFormat="1" ht="54" x14ac:dyDescent="0.3">
      <c r="A31" s="53" t="s">
        <v>57</v>
      </c>
      <c r="B31" s="54">
        <v>27</v>
      </c>
      <c r="C31" s="153" t="str">
        <f t="shared" si="2"/>
        <v>2h15min</v>
      </c>
      <c r="D31" s="166" t="s">
        <v>192</v>
      </c>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36</v>
      </c>
      <c r="C36" s="162" t="str">
        <f xml:space="preserve"> setValueToTime(B36)</f>
        <v>3h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16</v>
      </c>
      <c r="C38" s="164"/>
      <c r="D38" s="157" t="s">
        <v>13</v>
      </c>
      <c r="E38" s="158" t="s">
        <v>111</v>
      </c>
      <c r="F38" s="159" t="s">
        <v>49</v>
      </c>
      <c r="G38" s="46"/>
    </row>
    <row r="39" spans="1:7" s="47" customFormat="1" ht="30" customHeight="1" thickBot="1" x14ac:dyDescent="0.3">
      <c r="A39" s="78" t="s">
        <v>4</v>
      </c>
      <c r="B39" s="161" t="s">
        <v>38</v>
      </c>
      <c r="C39" s="160"/>
      <c r="D39" s="78" t="s">
        <v>11</v>
      </c>
      <c r="E39" s="239" t="s">
        <v>12</v>
      </c>
      <c r="F39" s="240"/>
      <c r="G39" s="46"/>
    </row>
    <row r="40" spans="1:7" s="52" customFormat="1" ht="81" x14ac:dyDescent="0.3">
      <c r="A40" s="48" t="s">
        <v>57</v>
      </c>
      <c r="B40" s="49">
        <v>45</v>
      </c>
      <c r="C40" s="152" t="str">
        <f xml:space="preserve"> IF(B40="","",setValueToTime(B40))</f>
        <v>3h45min</v>
      </c>
      <c r="D40" s="165" t="s">
        <v>189</v>
      </c>
      <c r="E40" s="241" t="s">
        <v>188</v>
      </c>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45</v>
      </c>
      <c r="C48" s="162" t="str">
        <f xml:space="preserve"> setValueToTime(B48)</f>
        <v>3h45min</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15</v>
      </c>
      <c r="C50" s="164"/>
      <c r="D50" s="157" t="s">
        <v>13</v>
      </c>
      <c r="E50" s="158" t="s">
        <v>114</v>
      </c>
      <c r="F50" s="159" t="s">
        <v>49</v>
      </c>
      <c r="G50" s="46"/>
    </row>
    <row r="51" spans="1:7" s="47" customFormat="1" ht="30" customHeight="1" thickBot="1" x14ac:dyDescent="0.3">
      <c r="A51" s="78" t="s">
        <v>4</v>
      </c>
      <c r="B51" s="161" t="s">
        <v>38</v>
      </c>
      <c r="C51" s="160"/>
      <c r="D51" s="78" t="s">
        <v>11</v>
      </c>
      <c r="E51" s="239" t="s">
        <v>12</v>
      </c>
      <c r="F51" s="240"/>
      <c r="G51" s="46"/>
    </row>
    <row r="52" spans="1:7" s="52" customFormat="1" ht="40.5" x14ac:dyDescent="0.3">
      <c r="A52" s="48" t="s">
        <v>51</v>
      </c>
      <c r="B52" s="49">
        <v>4</v>
      </c>
      <c r="C52" s="152" t="str">
        <f xml:space="preserve"> IF(B52="","",setValueToTime(B52))</f>
        <v>0h20min</v>
      </c>
      <c r="D52" s="165" t="s">
        <v>184</v>
      </c>
      <c r="E52" s="241" t="s">
        <v>182</v>
      </c>
      <c r="F52" s="230"/>
      <c r="G52" s="51"/>
    </row>
    <row r="53" spans="1:7" s="52" customFormat="1" ht="67.5" x14ac:dyDescent="0.3">
      <c r="A53" s="53" t="s">
        <v>57</v>
      </c>
      <c r="B53" s="54">
        <v>32</v>
      </c>
      <c r="C53" s="153" t="str">
        <f t="shared" ref="C53:C59" si="4" xml:space="preserve"> IF(B53="","",setValueToTime(B53))</f>
        <v>2h40min</v>
      </c>
      <c r="D53" s="166" t="s">
        <v>187</v>
      </c>
      <c r="E53" s="242" t="s">
        <v>185</v>
      </c>
      <c r="F53" s="232"/>
      <c r="G53" s="51"/>
    </row>
    <row r="54" spans="1:7" s="52" customFormat="1" ht="27" x14ac:dyDescent="0.3">
      <c r="A54" s="53" t="s">
        <v>15</v>
      </c>
      <c r="B54" s="54">
        <v>1</v>
      </c>
      <c r="C54" s="153" t="str">
        <f t="shared" si="4"/>
        <v>0h5min</v>
      </c>
      <c r="D54" s="166" t="s">
        <v>150</v>
      </c>
      <c r="E54" s="242" t="s">
        <v>186</v>
      </c>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37</v>
      </c>
      <c r="C60" s="162" t="str">
        <f xml:space="preserve"> setValueToTime(B60)</f>
        <v>3h5min</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14</v>
      </c>
      <c r="C62" s="164"/>
      <c r="D62" s="157" t="s">
        <v>13</v>
      </c>
      <c r="E62" s="158" t="s">
        <v>116</v>
      </c>
      <c r="F62" s="159" t="s">
        <v>50</v>
      </c>
      <c r="G62" s="46"/>
    </row>
    <row r="63" spans="1:7" s="47" customFormat="1" ht="30" customHeight="1" thickBot="1" x14ac:dyDescent="0.3">
      <c r="A63" s="78" t="s">
        <v>4</v>
      </c>
      <c r="B63" s="161" t="s">
        <v>38</v>
      </c>
      <c r="C63" s="160"/>
      <c r="D63" s="78" t="s">
        <v>11</v>
      </c>
      <c r="E63" s="239" t="s">
        <v>12</v>
      </c>
      <c r="F63" s="240"/>
      <c r="G63" s="46"/>
    </row>
    <row r="64" spans="1:7" s="52" customFormat="1" x14ac:dyDescent="0.3">
      <c r="A64" s="48" t="s">
        <v>57</v>
      </c>
      <c r="B64" s="49">
        <v>19</v>
      </c>
      <c r="C64" s="152" t="str">
        <f xml:space="preserve"> IF(B64="","",setValueToTime(B64))</f>
        <v>1h35min</v>
      </c>
      <c r="D64" s="165" t="s">
        <v>183</v>
      </c>
      <c r="E64" s="241" t="s">
        <v>181</v>
      </c>
      <c r="F64" s="230"/>
      <c r="G64" s="51"/>
    </row>
    <row r="65" spans="1:7" s="52" customFormat="1" x14ac:dyDescent="0.3">
      <c r="A65" s="53" t="s">
        <v>14</v>
      </c>
      <c r="B65" s="54">
        <v>10</v>
      </c>
      <c r="C65" s="153" t="str">
        <f t="shared" ref="C65:C71" si="5" xml:space="preserve"> IF(B65="","",setValueToTime(B65))</f>
        <v>0h50min</v>
      </c>
      <c r="D65" s="166" t="s">
        <v>180</v>
      </c>
      <c r="E65" s="242" t="s">
        <v>182</v>
      </c>
      <c r="F65" s="232"/>
      <c r="G65" s="51"/>
    </row>
    <row r="66" spans="1:7" s="52" customFormat="1" ht="27" x14ac:dyDescent="0.3">
      <c r="A66" s="53" t="s">
        <v>15</v>
      </c>
      <c r="B66" s="54">
        <v>4</v>
      </c>
      <c r="C66" s="153" t="str">
        <f t="shared" si="5"/>
        <v>0h20min</v>
      </c>
      <c r="D66" s="166" t="s">
        <v>150</v>
      </c>
      <c r="E66" s="231"/>
      <c r="F66" s="232"/>
      <c r="G66" s="51"/>
    </row>
    <row r="67" spans="1:7" s="52" customFormat="1" x14ac:dyDescent="0.3">
      <c r="A67" s="53" t="s">
        <v>44</v>
      </c>
      <c r="B67" s="54">
        <v>2</v>
      </c>
      <c r="C67" s="153" t="str">
        <f t="shared" si="5"/>
        <v>0h10min</v>
      </c>
      <c r="D67" s="166" t="s">
        <v>77</v>
      </c>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35</v>
      </c>
      <c r="C72" s="162" t="str">
        <f xml:space="preserve"> setValueToTime(B72)</f>
        <v>2h55min</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13</v>
      </c>
      <c r="C74" s="164"/>
      <c r="D74" s="157" t="s">
        <v>13</v>
      </c>
      <c r="E74" s="158" t="s">
        <v>116</v>
      </c>
      <c r="F74" s="159" t="s">
        <v>49</v>
      </c>
      <c r="G74" s="46"/>
    </row>
    <row r="75" spans="1:7" s="47" customFormat="1" ht="30" customHeight="1" thickBot="1" x14ac:dyDescent="0.3">
      <c r="A75" s="78" t="s">
        <v>4</v>
      </c>
      <c r="B75" s="161" t="s">
        <v>38</v>
      </c>
      <c r="C75" s="160"/>
      <c r="D75" s="78" t="s">
        <v>11</v>
      </c>
      <c r="E75" s="239" t="s">
        <v>12</v>
      </c>
      <c r="F75" s="240"/>
      <c r="G75" s="46"/>
    </row>
    <row r="76" spans="1:7" s="52" customFormat="1" ht="81" x14ac:dyDescent="0.3">
      <c r="A76" s="48" t="s">
        <v>55</v>
      </c>
      <c r="B76" s="49">
        <v>22</v>
      </c>
      <c r="C76" s="152" t="str">
        <f xml:space="preserve"> IF(B76="","",setValueToTime(B76))</f>
        <v>1h50min</v>
      </c>
      <c r="D76" s="165" t="s">
        <v>178</v>
      </c>
      <c r="E76" s="229"/>
      <c r="F76" s="230"/>
      <c r="G76" s="51"/>
    </row>
    <row r="77" spans="1:7" s="52" customFormat="1" ht="27" x14ac:dyDescent="0.3">
      <c r="A77" s="53" t="s">
        <v>43</v>
      </c>
      <c r="B77" s="54">
        <v>14</v>
      </c>
      <c r="C77" s="153" t="str">
        <f t="shared" ref="C77:C83" si="6" xml:space="preserve"> IF(B77="","",setValueToTime(B77))</f>
        <v>1h10min</v>
      </c>
      <c r="D77" s="166" t="s">
        <v>177</v>
      </c>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36</v>
      </c>
      <c r="C84" s="162" t="str">
        <f xml:space="preserve"> setValueToTime(B84)</f>
        <v>3h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12</v>
      </c>
      <c r="C86" s="164"/>
      <c r="D86" s="157" t="s">
        <v>13</v>
      </c>
      <c r="E86" s="158" t="s">
        <v>119</v>
      </c>
      <c r="F86" s="159" t="s">
        <v>50</v>
      </c>
      <c r="G86" s="46"/>
    </row>
    <row r="87" spans="1:7" s="47" customFormat="1" ht="30" customHeight="1" thickBot="1" x14ac:dyDescent="0.3">
      <c r="A87" s="78" t="s">
        <v>4</v>
      </c>
      <c r="B87" s="161" t="s">
        <v>38</v>
      </c>
      <c r="C87" s="160"/>
      <c r="D87" s="78" t="s">
        <v>11</v>
      </c>
      <c r="E87" s="239" t="s">
        <v>12</v>
      </c>
      <c r="F87" s="240"/>
      <c r="G87" s="46"/>
    </row>
    <row r="88" spans="1:7" s="52" customFormat="1" ht="54" x14ac:dyDescent="0.3">
      <c r="A88" s="48" t="s">
        <v>55</v>
      </c>
      <c r="B88" s="49">
        <v>18</v>
      </c>
      <c r="C88" s="152" t="str">
        <f xml:space="preserve"> IF(B88="","",setValueToTime(B88))</f>
        <v>1h30min</v>
      </c>
      <c r="D88" s="165" t="s">
        <v>179</v>
      </c>
      <c r="E88" s="241" t="s">
        <v>171</v>
      </c>
      <c r="F88" s="230"/>
      <c r="G88" s="51"/>
    </row>
    <row r="89" spans="1:7" s="52" customFormat="1" ht="27" x14ac:dyDescent="0.3">
      <c r="A89" s="168" t="s">
        <v>43</v>
      </c>
      <c r="B89" s="54">
        <v>12</v>
      </c>
      <c r="C89" s="153" t="str">
        <f xml:space="preserve"> IF(B89="","",setValueToTime(B89))</f>
        <v>1h</v>
      </c>
      <c r="D89" s="166" t="s">
        <v>174</v>
      </c>
      <c r="E89" s="242" t="s">
        <v>175</v>
      </c>
      <c r="F89" s="232"/>
      <c r="G89" s="51"/>
    </row>
    <row r="90" spans="1:7" s="52" customFormat="1" ht="27" x14ac:dyDescent="0.3">
      <c r="A90" s="53" t="s">
        <v>15</v>
      </c>
      <c r="B90" s="54">
        <v>4</v>
      </c>
      <c r="C90" s="153" t="str">
        <f xml:space="preserve"> IF(B90="","",setValueToTime(B90))</f>
        <v>0h20min</v>
      </c>
      <c r="D90" s="166" t="s">
        <v>150</v>
      </c>
      <c r="E90" s="242" t="s">
        <v>176</v>
      </c>
      <c r="F90" s="232"/>
      <c r="G90" s="51"/>
    </row>
    <row r="91" spans="1:7" s="52" customFormat="1" x14ac:dyDescent="0.3">
      <c r="A91" s="53" t="s">
        <v>44</v>
      </c>
      <c r="B91" s="54">
        <v>2</v>
      </c>
      <c r="C91" s="153" t="str">
        <f xml:space="preserve"> IF(B91="","",setValueToTime(B91))</f>
        <v>0h10min</v>
      </c>
      <c r="D91" s="166" t="s">
        <v>149</v>
      </c>
      <c r="E91" s="231"/>
      <c r="F91" s="232"/>
      <c r="G91" s="51"/>
    </row>
    <row r="92" spans="1:7" s="52" customFormat="1" x14ac:dyDescent="0.3">
      <c r="A92" s="54"/>
      <c r="B92" s="54"/>
      <c r="C92" s="154" t="str">
        <f t="shared" ref="C92:C95" si="7" xml:space="preserve"> IF(B92="","",setValueToTime(B92))</f>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36</v>
      </c>
      <c r="C96" s="162" t="str">
        <f xml:space="preserve"> setValueToTime(B96)</f>
        <v>3h</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11</v>
      </c>
      <c r="C98" s="164"/>
      <c r="D98" s="157" t="s">
        <v>13</v>
      </c>
      <c r="E98" s="158" t="s">
        <v>119</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ht="81" x14ac:dyDescent="0.3">
      <c r="A100" s="48" t="s">
        <v>55</v>
      </c>
      <c r="B100" s="49">
        <v>45</v>
      </c>
      <c r="C100" s="152" t="str">
        <f xml:space="preserve"> IF(B100="","",setValueToTime(B100))</f>
        <v>3h45min</v>
      </c>
      <c r="D100" s="165" t="s">
        <v>173</v>
      </c>
      <c r="E100" s="241" t="s">
        <v>171</v>
      </c>
      <c r="F100" s="230"/>
      <c r="G100" s="51"/>
    </row>
    <row r="101" spans="1:7" s="52" customFormat="1" x14ac:dyDescent="0.3">
      <c r="A101" s="53" t="s">
        <v>43</v>
      </c>
      <c r="B101" s="54">
        <v>15</v>
      </c>
      <c r="C101" s="153" t="str">
        <f t="shared" ref="C101:C107" si="8" xml:space="preserve"> IF(B101="","",setValueToTime(B101))</f>
        <v>1h15min</v>
      </c>
      <c r="D101" s="166" t="s">
        <v>172</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60</v>
      </c>
      <c r="C108" s="162" t="str">
        <f xml:space="preserve"> setValueToTime(B108)</f>
        <v>5h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10</v>
      </c>
      <c r="C110" s="164"/>
      <c r="D110" s="157" t="s">
        <v>13</v>
      </c>
      <c r="E110" s="158" t="s">
        <v>122</v>
      </c>
      <c r="F110" s="159" t="s">
        <v>50</v>
      </c>
      <c r="G110" s="46"/>
    </row>
    <row r="111" spans="1:7" s="47" customFormat="1" ht="30" customHeight="1" thickBot="1" x14ac:dyDescent="0.3">
      <c r="A111" s="78" t="s">
        <v>4</v>
      </c>
      <c r="B111" s="161" t="s">
        <v>38</v>
      </c>
      <c r="C111" s="160"/>
      <c r="D111" s="78" t="s">
        <v>11</v>
      </c>
      <c r="E111" s="239" t="s">
        <v>12</v>
      </c>
      <c r="F111" s="240"/>
      <c r="G111" s="46"/>
    </row>
    <row r="112" spans="1:7" s="52" customFormat="1" ht="54" x14ac:dyDescent="0.3">
      <c r="A112" s="48" t="s">
        <v>57</v>
      </c>
      <c r="B112" s="49">
        <v>25</v>
      </c>
      <c r="C112" s="152" t="str">
        <f xml:space="preserve"> IF(B112="","",setValueToTime(B112))</f>
        <v>2h5min</v>
      </c>
      <c r="D112" s="165" t="s">
        <v>162</v>
      </c>
      <c r="E112" s="241" t="s">
        <v>164</v>
      </c>
      <c r="F112" s="230"/>
      <c r="G112" s="51"/>
    </row>
    <row r="113" spans="1:7" s="52" customFormat="1" ht="40.5" x14ac:dyDescent="0.3">
      <c r="A113" s="53" t="s">
        <v>51</v>
      </c>
      <c r="B113" s="54">
        <v>4</v>
      </c>
      <c r="C113" s="153" t="str">
        <f t="shared" ref="C113:C119" si="9" xml:space="preserve"> IF(B113="","",setValueToTime(B113))</f>
        <v>0h20min</v>
      </c>
      <c r="D113" s="166" t="s">
        <v>163</v>
      </c>
      <c r="E113" s="242" t="s">
        <v>165</v>
      </c>
      <c r="F113" s="232"/>
      <c r="G113" s="51"/>
    </row>
    <row r="114" spans="1:7" s="52" customFormat="1" x14ac:dyDescent="0.3">
      <c r="A114" s="53" t="s">
        <v>44</v>
      </c>
      <c r="B114" s="54">
        <v>1</v>
      </c>
      <c r="C114" s="153" t="str">
        <f t="shared" si="9"/>
        <v>0h5min</v>
      </c>
      <c r="D114" s="166" t="s">
        <v>149</v>
      </c>
      <c r="E114" s="242" t="s">
        <v>166</v>
      </c>
      <c r="F114" s="232"/>
      <c r="G114" s="51"/>
    </row>
    <row r="115" spans="1:7" s="52" customFormat="1" ht="27" x14ac:dyDescent="0.3">
      <c r="A115" s="53" t="s">
        <v>15</v>
      </c>
      <c r="B115" s="54">
        <v>4</v>
      </c>
      <c r="C115" s="153" t="str">
        <f t="shared" si="9"/>
        <v>0h20min</v>
      </c>
      <c r="D115" s="166" t="s">
        <v>150</v>
      </c>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34</v>
      </c>
      <c r="C120" s="162" t="str">
        <f xml:space="preserve"> setValueToTime(B120)</f>
        <v>2h50min</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9</v>
      </c>
      <c r="C122" s="164"/>
      <c r="D122" s="157" t="s">
        <v>13</v>
      </c>
      <c r="E122" s="158" t="s">
        <v>122</v>
      </c>
      <c r="F122" s="159" t="s">
        <v>49</v>
      </c>
      <c r="G122" s="46"/>
    </row>
    <row r="123" spans="1:7" s="47" customFormat="1" ht="30" customHeight="1" thickBot="1" x14ac:dyDescent="0.3">
      <c r="A123" s="78" t="s">
        <v>4</v>
      </c>
      <c r="B123" s="161" t="s">
        <v>38</v>
      </c>
      <c r="C123" s="160"/>
      <c r="D123" s="78" t="s">
        <v>11</v>
      </c>
      <c r="E123" s="239" t="s">
        <v>12</v>
      </c>
      <c r="F123" s="240"/>
      <c r="G123" s="46"/>
    </row>
    <row r="124" spans="1:7" s="52" customFormat="1" ht="94.5" x14ac:dyDescent="0.3">
      <c r="A124" s="48" t="s">
        <v>57</v>
      </c>
      <c r="B124" s="49">
        <v>45</v>
      </c>
      <c r="C124" s="152" t="str">
        <f xml:space="preserve"> IF(B124="","",setValueToTime(B124))</f>
        <v>3h45min</v>
      </c>
      <c r="D124" s="165" t="s">
        <v>160</v>
      </c>
      <c r="E124" s="241" t="s">
        <v>161</v>
      </c>
      <c r="F124" s="230"/>
      <c r="G124" s="51"/>
    </row>
    <row r="125" spans="1:7" s="52" customFormat="1" x14ac:dyDescent="0.3">
      <c r="A125" s="53"/>
      <c r="B125" s="54"/>
      <c r="C125" s="153" t="str">
        <f t="shared" ref="C125:C131" si="10" xml:space="preserve"> IF(B125="","",setValueToTime(B125))</f>
        <v/>
      </c>
      <c r="D125" s="55"/>
      <c r="E125" s="242" t="s">
        <v>166</v>
      </c>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27</v>
      </c>
      <c r="B132" s="83">
        <f>SUM(B124:B131)</f>
        <v>45</v>
      </c>
      <c r="C132" s="162" t="str">
        <f xml:space="preserve"> setValueToTime(B132)</f>
        <v>3h45min</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8</v>
      </c>
      <c r="C134" s="164"/>
      <c r="D134" s="157" t="s">
        <v>13</v>
      </c>
      <c r="E134" s="158" t="s">
        <v>125</v>
      </c>
      <c r="F134" s="159" t="s">
        <v>49</v>
      </c>
      <c r="G134" s="46"/>
    </row>
    <row r="135" spans="1:7" s="47" customFormat="1" ht="30" customHeight="1" thickBot="1" x14ac:dyDescent="0.3">
      <c r="A135" s="78" t="s">
        <v>4</v>
      </c>
      <c r="B135" s="161" t="s">
        <v>38</v>
      </c>
      <c r="C135" s="160"/>
      <c r="D135" s="78" t="s">
        <v>11</v>
      </c>
      <c r="E135" s="239" t="s">
        <v>12</v>
      </c>
      <c r="F135" s="240"/>
      <c r="G135" s="46"/>
    </row>
    <row r="136" spans="1:7" s="52" customFormat="1" ht="54" x14ac:dyDescent="0.3">
      <c r="A136" s="48" t="s">
        <v>42</v>
      </c>
      <c r="B136" s="49">
        <v>36</v>
      </c>
      <c r="C136" s="152" t="str">
        <f xml:space="preserve"> IF(B136="","",setValueToTime(B136))</f>
        <v>3h</v>
      </c>
      <c r="D136" s="165" t="s">
        <v>159</v>
      </c>
      <c r="E136" s="241" t="s">
        <v>158</v>
      </c>
      <c r="F136" s="23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27</v>
      </c>
      <c r="B144" s="83">
        <f>SUM(B136:B143)</f>
        <v>36</v>
      </c>
      <c r="C144" s="162" t="str">
        <f xml:space="preserve"> setValueToTime(B144)</f>
        <v>3h</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10</v>
      </c>
      <c r="B146" s="164">
        <v>7</v>
      </c>
      <c r="C146" s="164"/>
      <c r="D146" s="157" t="s">
        <v>13</v>
      </c>
      <c r="E146" s="158" t="s">
        <v>127</v>
      </c>
      <c r="F146" s="159" t="s">
        <v>50</v>
      </c>
      <c r="G146" s="46"/>
    </row>
    <row r="147" spans="1:7" s="47" customFormat="1" ht="30" customHeight="1" thickBot="1" x14ac:dyDescent="0.3">
      <c r="A147" s="78" t="s">
        <v>4</v>
      </c>
      <c r="B147" s="161" t="s">
        <v>38</v>
      </c>
      <c r="C147" s="160"/>
      <c r="D147" s="78" t="s">
        <v>11</v>
      </c>
      <c r="E147" s="239" t="s">
        <v>12</v>
      </c>
      <c r="F147" s="240"/>
      <c r="G147" s="46"/>
    </row>
    <row r="148" spans="1:7" s="52" customFormat="1" ht="40.5" x14ac:dyDescent="0.3">
      <c r="A148" s="48" t="s">
        <v>42</v>
      </c>
      <c r="B148" s="49">
        <v>20</v>
      </c>
      <c r="C148" s="152" t="str">
        <f xml:space="preserve"> IF(B148="","",setValueToTime(B148))</f>
        <v>1h40min</v>
      </c>
      <c r="D148" s="165" t="s">
        <v>154</v>
      </c>
      <c r="E148" s="241" t="s">
        <v>153</v>
      </c>
      <c r="F148" s="230"/>
      <c r="G148" s="51"/>
    </row>
    <row r="149" spans="1:7" s="52" customFormat="1" ht="27" x14ac:dyDescent="0.3">
      <c r="A149" s="53" t="s">
        <v>15</v>
      </c>
      <c r="B149" s="54">
        <v>4</v>
      </c>
      <c r="C149" s="153" t="str">
        <f t="shared" ref="C149:C155" si="12" xml:space="preserve"> IF(B149="","",setValueToTime(B149))</f>
        <v>0h20min</v>
      </c>
      <c r="D149" s="166" t="s">
        <v>150</v>
      </c>
      <c r="E149" s="231"/>
      <c r="F149" s="232"/>
      <c r="G149" s="51"/>
    </row>
    <row r="150" spans="1:7" s="52" customFormat="1" ht="40.5" x14ac:dyDescent="0.3">
      <c r="A150" s="53" t="s">
        <v>51</v>
      </c>
      <c r="B150" s="54">
        <v>4</v>
      </c>
      <c r="C150" s="153" t="str">
        <f t="shared" si="12"/>
        <v>0h20min</v>
      </c>
      <c r="D150" s="166" t="s">
        <v>156</v>
      </c>
      <c r="E150" s="231"/>
      <c r="F150" s="232"/>
      <c r="G150" s="51"/>
    </row>
    <row r="151" spans="1:7" s="52" customFormat="1" ht="27" x14ac:dyDescent="0.3">
      <c r="A151" s="53" t="s">
        <v>14</v>
      </c>
      <c r="B151" s="54">
        <v>7</v>
      </c>
      <c r="C151" s="153" t="str">
        <f t="shared" si="12"/>
        <v>0h35min</v>
      </c>
      <c r="D151" s="166" t="s">
        <v>155</v>
      </c>
      <c r="E151" s="231"/>
      <c r="F151" s="232"/>
      <c r="G151" s="51"/>
    </row>
    <row r="152" spans="1:7" s="52" customFormat="1" x14ac:dyDescent="0.3">
      <c r="A152" s="54" t="s">
        <v>44</v>
      </c>
      <c r="B152" s="54">
        <v>1</v>
      </c>
      <c r="C152" s="154" t="str">
        <f t="shared" si="12"/>
        <v>0h5min</v>
      </c>
      <c r="D152" s="166" t="s">
        <v>149</v>
      </c>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27</v>
      </c>
      <c r="B156" s="83">
        <f>SUM(B148:B155)</f>
        <v>36</v>
      </c>
      <c r="C156" s="162" t="str">
        <f xml:space="preserve"> setValueToTime(B156)</f>
        <v>3h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10</v>
      </c>
      <c r="B158" s="164">
        <v>6</v>
      </c>
      <c r="C158" s="164"/>
      <c r="D158" s="157" t="s">
        <v>13</v>
      </c>
      <c r="E158" s="158" t="s">
        <v>127</v>
      </c>
      <c r="F158" s="159" t="s">
        <v>49</v>
      </c>
      <c r="G158" s="46"/>
    </row>
    <row r="159" spans="1:7" s="47" customFormat="1" ht="30" customHeight="1" thickBot="1" x14ac:dyDescent="0.3">
      <c r="A159" s="78" t="s">
        <v>4</v>
      </c>
      <c r="B159" s="161" t="s">
        <v>38</v>
      </c>
      <c r="C159" s="160"/>
      <c r="D159" s="78" t="s">
        <v>11</v>
      </c>
      <c r="E159" s="239" t="s">
        <v>12</v>
      </c>
      <c r="F159" s="240"/>
      <c r="G159" s="46"/>
    </row>
    <row r="160" spans="1:7" s="52" customFormat="1" x14ac:dyDescent="0.3">
      <c r="A160" s="48" t="s">
        <v>41</v>
      </c>
      <c r="B160" s="49">
        <v>10</v>
      </c>
      <c r="C160" s="152" t="str">
        <f xml:space="preserve"> IF(B160="","",setValueToTime(B160))</f>
        <v>0h50min</v>
      </c>
      <c r="D160" s="165" t="s">
        <v>152</v>
      </c>
      <c r="E160" s="229"/>
      <c r="F160" s="230"/>
      <c r="G160" s="51"/>
    </row>
    <row r="161" spans="1:7" s="52" customFormat="1" ht="27" x14ac:dyDescent="0.3">
      <c r="A161" s="53" t="s">
        <v>14</v>
      </c>
      <c r="B161" s="54">
        <v>26</v>
      </c>
      <c r="C161" s="153" t="str">
        <f t="shared" ref="C161:C167" si="13" xml:space="preserve"> IF(B161="","",setValueToTime(B161))</f>
        <v>2h10min</v>
      </c>
      <c r="D161" s="166" t="s">
        <v>155</v>
      </c>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27</v>
      </c>
      <c r="B168" s="83">
        <f>SUM(B160:B167)</f>
        <v>36</v>
      </c>
      <c r="C168" s="162" t="str">
        <f xml:space="preserve"> setValueToTime(B168)</f>
        <v>3h</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10</v>
      </c>
      <c r="B170" s="164">
        <v>5</v>
      </c>
      <c r="C170" s="164"/>
      <c r="D170" s="157" t="s">
        <v>13</v>
      </c>
      <c r="E170" s="158" t="s">
        <v>130</v>
      </c>
      <c r="F170" s="159" t="s">
        <v>50</v>
      </c>
      <c r="G170" s="46"/>
    </row>
    <row r="171" spans="1:7" s="47" customFormat="1" ht="30" customHeight="1" thickBot="1" x14ac:dyDescent="0.3">
      <c r="A171" s="78" t="s">
        <v>4</v>
      </c>
      <c r="B171" s="161" t="s">
        <v>38</v>
      </c>
      <c r="C171" s="160"/>
      <c r="D171" s="78" t="s">
        <v>11</v>
      </c>
      <c r="E171" s="239" t="s">
        <v>12</v>
      </c>
      <c r="F171" s="240"/>
      <c r="G171" s="46"/>
    </row>
    <row r="172" spans="1:7" s="52" customFormat="1" ht="54" x14ac:dyDescent="0.3">
      <c r="A172" s="48" t="s">
        <v>57</v>
      </c>
      <c r="B172" s="49">
        <v>25</v>
      </c>
      <c r="C172" s="152" t="str">
        <f xml:space="preserve"> IF(B172="","",setValueToTime(B172))</f>
        <v>2h5min</v>
      </c>
      <c r="D172" s="165" t="s">
        <v>148</v>
      </c>
      <c r="E172" s="229"/>
      <c r="F172" s="230"/>
      <c r="G172" s="51"/>
    </row>
    <row r="173" spans="1:7" s="52" customFormat="1" ht="27" x14ac:dyDescent="0.3">
      <c r="A173" s="53" t="s">
        <v>15</v>
      </c>
      <c r="B173" s="54">
        <v>5</v>
      </c>
      <c r="C173" s="153" t="str">
        <f t="shared" ref="C173:C179" si="14" xml:space="preserve"> IF(B173="","",setValueToTime(B173))</f>
        <v>0h25min</v>
      </c>
      <c r="D173" s="166" t="s">
        <v>150</v>
      </c>
      <c r="E173" s="231"/>
      <c r="F173" s="232"/>
      <c r="G173" s="51"/>
    </row>
    <row r="174" spans="1:7" s="52" customFormat="1" x14ac:dyDescent="0.3">
      <c r="A174" s="53" t="s">
        <v>14</v>
      </c>
      <c r="B174" s="54">
        <v>5</v>
      </c>
      <c r="C174" s="153" t="str">
        <f t="shared" si="14"/>
        <v>0h25min</v>
      </c>
      <c r="D174" s="166" t="s">
        <v>151</v>
      </c>
      <c r="E174" s="231"/>
      <c r="F174" s="232"/>
      <c r="G174" s="51"/>
    </row>
    <row r="175" spans="1:7" s="52" customFormat="1" x14ac:dyDescent="0.3">
      <c r="A175" s="53" t="s">
        <v>44</v>
      </c>
      <c r="B175" s="54">
        <v>1</v>
      </c>
      <c r="C175" s="153" t="str">
        <f t="shared" si="14"/>
        <v>0h5min</v>
      </c>
      <c r="D175" s="166" t="s">
        <v>149</v>
      </c>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27</v>
      </c>
      <c r="B180" s="83">
        <f>SUM(B172:B179)</f>
        <v>36</v>
      </c>
      <c r="C180" s="162" t="str">
        <f xml:space="preserve"> setValueToTime(B180)</f>
        <v>3h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10</v>
      </c>
      <c r="B182" s="164">
        <v>4</v>
      </c>
      <c r="C182" s="164"/>
      <c r="D182" s="157" t="s">
        <v>13</v>
      </c>
      <c r="E182" s="158" t="s">
        <v>130</v>
      </c>
      <c r="F182" s="159" t="s">
        <v>49</v>
      </c>
      <c r="G182" s="46"/>
    </row>
    <row r="183" spans="1:7" s="47" customFormat="1" ht="30" customHeight="1" thickBot="1" x14ac:dyDescent="0.3">
      <c r="A183" s="78" t="s">
        <v>4</v>
      </c>
      <c r="B183" s="161" t="s">
        <v>38</v>
      </c>
      <c r="C183" s="160"/>
      <c r="D183" s="78" t="s">
        <v>11</v>
      </c>
      <c r="E183" s="239" t="s">
        <v>12</v>
      </c>
      <c r="F183" s="240"/>
      <c r="G183" s="46"/>
    </row>
    <row r="184" spans="1:7" s="52" customFormat="1" ht="94.5" x14ac:dyDescent="0.3">
      <c r="A184" s="48" t="s">
        <v>62</v>
      </c>
      <c r="B184" s="49">
        <v>10</v>
      </c>
      <c r="C184" s="152" t="str">
        <f xml:space="preserve"> IF(B184="","",setValueToTime(B184))</f>
        <v>0h50min</v>
      </c>
      <c r="D184" s="165" t="s">
        <v>145</v>
      </c>
      <c r="E184" s="229"/>
      <c r="F184" s="230"/>
      <c r="G184" s="51"/>
    </row>
    <row r="185" spans="1:7" s="52" customFormat="1" ht="27" x14ac:dyDescent="0.3">
      <c r="A185" s="53" t="s">
        <v>41</v>
      </c>
      <c r="B185" s="54">
        <v>5</v>
      </c>
      <c r="C185" s="153" t="str">
        <f t="shared" ref="C185:C191" si="15" xml:space="preserve"> IF(B185="","",setValueToTime(B185))</f>
        <v>0h25min</v>
      </c>
      <c r="D185" s="166" t="s">
        <v>146</v>
      </c>
      <c r="E185" s="231"/>
      <c r="F185" s="232"/>
      <c r="G185" s="51"/>
    </row>
    <row r="186" spans="1:7" s="52" customFormat="1" ht="81" x14ac:dyDescent="0.3">
      <c r="A186" s="53" t="s">
        <v>57</v>
      </c>
      <c r="B186" s="54">
        <v>30</v>
      </c>
      <c r="C186" s="153" t="str">
        <f t="shared" si="15"/>
        <v>2h30min</v>
      </c>
      <c r="D186" s="166" t="s">
        <v>147</v>
      </c>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27</v>
      </c>
      <c r="B192" s="83">
        <f>SUM(B184:B191)</f>
        <v>45</v>
      </c>
      <c r="C192" s="162" t="str">
        <f xml:space="preserve"> setValueToTime(B192)</f>
        <v>3h45min</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10</v>
      </c>
      <c r="B194" s="164">
        <v>3</v>
      </c>
      <c r="C194" s="164"/>
      <c r="D194" s="157" t="s">
        <v>13</v>
      </c>
      <c r="E194" s="158" t="s">
        <v>132</v>
      </c>
      <c r="F194" s="159" t="s">
        <v>50</v>
      </c>
      <c r="G194" s="46"/>
    </row>
    <row r="195" spans="1:7" s="47" customFormat="1" ht="30" customHeight="1" thickBot="1" x14ac:dyDescent="0.3">
      <c r="A195" s="78" t="s">
        <v>4</v>
      </c>
      <c r="B195" s="161" t="s">
        <v>38</v>
      </c>
      <c r="C195" s="160"/>
      <c r="D195" s="78" t="s">
        <v>11</v>
      </c>
      <c r="E195" s="239" t="s">
        <v>12</v>
      </c>
      <c r="F195" s="240"/>
      <c r="G195" s="46"/>
    </row>
    <row r="196" spans="1:7" s="52" customFormat="1" ht="27" x14ac:dyDescent="0.3">
      <c r="A196" s="48" t="s">
        <v>40</v>
      </c>
      <c r="B196" s="49">
        <v>13</v>
      </c>
      <c r="C196" s="152" t="str">
        <f xml:space="preserve"> IF(B196="","",setValueToTime(B196))</f>
        <v>1h5min</v>
      </c>
      <c r="D196" s="50" t="s">
        <v>72</v>
      </c>
      <c r="E196" s="241" t="s">
        <v>168</v>
      </c>
      <c r="F196" s="230"/>
      <c r="G196" s="51"/>
    </row>
    <row r="197" spans="1:7" s="52" customFormat="1" x14ac:dyDescent="0.3">
      <c r="A197" s="53" t="s">
        <v>14</v>
      </c>
      <c r="B197" s="54">
        <v>5</v>
      </c>
      <c r="C197" s="153" t="str">
        <f t="shared" ref="C197:C203" si="16" xml:space="preserve"> IF(B197="","",setValueToTime(B197))</f>
        <v>0h25min</v>
      </c>
      <c r="D197" s="166" t="s">
        <v>142</v>
      </c>
      <c r="E197" s="231"/>
      <c r="F197" s="232"/>
      <c r="G197" s="51"/>
    </row>
    <row r="198" spans="1:7" s="52" customFormat="1" ht="27" x14ac:dyDescent="0.3">
      <c r="A198" s="53" t="s">
        <v>15</v>
      </c>
      <c r="B198" s="54">
        <v>5</v>
      </c>
      <c r="C198" s="153" t="str">
        <f t="shared" si="16"/>
        <v>0h25min</v>
      </c>
      <c r="D198" s="166" t="s">
        <v>143</v>
      </c>
      <c r="E198" s="231"/>
      <c r="F198" s="232"/>
      <c r="G198" s="51"/>
    </row>
    <row r="199" spans="1:7" s="52" customFormat="1" ht="40.5" x14ac:dyDescent="0.3">
      <c r="A199" s="53" t="s">
        <v>51</v>
      </c>
      <c r="B199" s="54">
        <v>5</v>
      </c>
      <c r="C199" s="153" t="str">
        <f t="shared" si="16"/>
        <v>0h25min</v>
      </c>
      <c r="D199" s="166" t="s">
        <v>144</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27</v>
      </c>
      <c r="B204" s="83">
        <f>SUM(B196:B203)</f>
        <v>28</v>
      </c>
      <c r="C204" s="162" t="str">
        <f xml:space="preserve"> setValueToTime(B204)</f>
        <v>2h20min</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10</v>
      </c>
      <c r="B206" s="164">
        <v>2</v>
      </c>
      <c r="C206" s="164"/>
      <c r="D206" s="157" t="s">
        <v>13</v>
      </c>
      <c r="E206" s="158" t="s">
        <v>132</v>
      </c>
      <c r="F206" s="159" t="s">
        <v>49</v>
      </c>
      <c r="G206" s="46"/>
    </row>
    <row r="207" spans="1:7" s="47" customFormat="1" ht="30" customHeight="1" thickBot="1" x14ac:dyDescent="0.3">
      <c r="A207" s="78" t="s">
        <v>4</v>
      </c>
      <c r="B207" s="161" t="s">
        <v>38</v>
      </c>
      <c r="C207" s="160"/>
      <c r="D207" s="78" t="s">
        <v>11</v>
      </c>
      <c r="E207" s="239" t="s">
        <v>12</v>
      </c>
      <c r="F207" s="240"/>
      <c r="G207" s="46"/>
    </row>
    <row r="208" spans="1:7" s="52" customFormat="1" ht="27" x14ac:dyDescent="0.3">
      <c r="A208" s="48" t="s">
        <v>69</v>
      </c>
      <c r="B208" s="49">
        <v>18</v>
      </c>
      <c r="C208" s="152" t="str">
        <f xml:space="preserve"> IF(B208="","",setValueToTime(B208))</f>
        <v>1h30min</v>
      </c>
      <c r="D208" s="165" t="s">
        <v>140</v>
      </c>
      <c r="E208" s="241" t="s">
        <v>167</v>
      </c>
      <c r="F208" s="230"/>
      <c r="G208" s="51"/>
    </row>
    <row r="209" spans="1:7" s="52" customFormat="1" x14ac:dyDescent="0.3">
      <c r="A209" s="168" t="s">
        <v>41</v>
      </c>
      <c r="B209" s="54">
        <v>10</v>
      </c>
      <c r="C209" s="153" t="str">
        <f t="shared" ref="C209:C215" si="17" xml:space="preserve"> IF(B209="","",setValueToTime(B209))</f>
        <v>0h50min</v>
      </c>
      <c r="D209" s="55" t="s">
        <v>58</v>
      </c>
      <c r="E209" s="231"/>
      <c r="F209" s="232"/>
      <c r="G209" s="51"/>
    </row>
    <row r="210" spans="1:7" s="52" customFormat="1" x14ac:dyDescent="0.3">
      <c r="A210" s="53" t="s">
        <v>14</v>
      </c>
      <c r="B210" s="54">
        <v>12</v>
      </c>
      <c r="C210" s="153" t="str">
        <f t="shared" si="17"/>
        <v>1h</v>
      </c>
      <c r="D210" s="166" t="s">
        <v>141</v>
      </c>
      <c r="E210" s="231"/>
      <c r="F210" s="232"/>
      <c r="G210" s="51"/>
    </row>
    <row r="211" spans="1:7" s="52" customFormat="1" ht="27" x14ac:dyDescent="0.3">
      <c r="A211" s="53" t="s">
        <v>40</v>
      </c>
      <c r="B211" s="54">
        <v>5</v>
      </c>
      <c r="C211" s="153" t="str">
        <f t="shared" si="17"/>
        <v>0h25min</v>
      </c>
      <c r="D211" s="166" t="s">
        <v>71</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27</v>
      </c>
      <c r="B216" s="83">
        <f>SUM(B208:B215)</f>
        <v>45</v>
      </c>
      <c r="C216" s="162" t="str">
        <f xml:space="preserve"> setValueToTime(B216)</f>
        <v>3h45min</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10</v>
      </c>
      <c r="B218" s="164">
        <v>1</v>
      </c>
      <c r="C218" s="164"/>
      <c r="D218" s="157" t="s">
        <v>13</v>
      </c>
      <c r="E218" s="158" t="s">
        <v>133</v>
      </c>
      <c r="F218" s="159" t="s">
        <v>49</v>
      </c>
      <c r="G218" s="46"/>
    </row>
    <row r="219" spans="1:7" s="47" customFormat="1" ht="30" customHeight="1" thickBot="1" x14ac:dyDescent="0.3">
      <c r="A219" s="78" t="s">
        <v>4</v>
      </c>
      <c r="B219" s="161" t="s">
        <v>38</v>
      </c>
      <c r="C219" s="160"/>
      <c r="D219" s="78" t="s">
        <v>11</v>
      </c>
      <c r="E219" s="239" t="s">
        <v>12</v>
      </c>
      <c r="F219" s="240"/>
      <c r="G219" s="46"/>
    </row>
    <row r="220" spans="1:7" s="52" customFormat="1" ht="40.5" x14ac:dyDescent="0.3">
      <c r="A220" s="48" t="s">
        <v>51</v>
      </c>
      <c r="B220" s="49">
        <v>15</v>
      </c>
      <c r="C220" s="152" t="str">
        <f xml:space="preserve"> IF(B220="","",setValueToTime(B220))</f>
        <v>1h15min</v>
      </c>
      <c r="D220" s="165" t="s">
        <v>157</v>
      </c>
      <c r="E220" s="229"/>
      <c r="F220" s="230"/>
      <c r="G220" s="51"/>
    </row>
    <row r="221" spans="1:7" s="52" customFormat="1" ht="40.5" x14ac:dyDescent="0.3">
      <c r="A221" s="53" t="s">
        <v>14</v>
      </c>
      <c r="B221" s="54">
        <v>21</v>
      </c>
      <c r="C221" s="153" t="str">
        <f t="shared" ref="C221:C227" si="18" xml:space="preserve"> IF(B221="","",setValueToTime(B221))</f>
        <v>1h45min</v>
      </c>
      <c r="D221" s="166" t="s">
        <v>139</v>
      </c>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27</v>
      </c>
      <c r="B228" s="83">
        <f>SUM(B220:B227)</f>
        <v>36</v>
      </c>
      <c r="C228" s="162" t="str">
        <f xml:space="preserve"> setValueToTime(B228)</f>
        <v>3h</v>
      </c>
      <c r="D228" s="121"/>
      <c r="E228" s="237"/>
      <c r="F228" s="238"/>
      <c r="G228" s="51"/>
    </row>
    <row r="229" spans="1:7" s="59" customFormat="1" x14ac:dyDescent="0.3">
      <c r="A229" s="77"/>
      <c r="B229" s="77"/>
      <c r="C229" s="77"/>
      <c r="D229" s="77"/>
      <c r="E229" s="77"/>
      <c r="F229" s="77"/>
      <c r="G229" s="58"/>
    </row>
  </sheetData>
  <sheetProtection formatRows="0" insertRows="0" insertHyperlinks="0" deleteRows="0" selectLockedCells="1"/>
  <mergeCells count="19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150:F150"/>
    <mergeCell ref="E151:F151"/>
    <mergeCell ref="E152:F152"/>
    <mergeCell ref="E153:F153"/>
    <mergeCell ref="E154:F154"/>
    <mergeCell ref="E155:F155"/>
    <mergeCell ref="E51:F51"/>
    <mergeCell ref="E52:F52"/>
    <mergeCell ref="E53:F53"/>
    <mergeCell ref="E54:F54"/>
    <mergeCell ref="E55:F55"/>
    <mergeCell ref="E56:F56"/>
    <mergeCell ref="E57:F57"/>
    <mergeCell ref="E58:F58"/>
    <mergeCell ref="E59:F59"/>
    <mergeCell ref="E60:F60"/>
    <mergeCell ref="E123:F123"/>
    <mergeCell ref="E124:F124"/>
    <mergeCell ref="E125:F125"/>
    <mergeCell ref="E126:F126"/>
    <mergeCell ref="E127:F127"/>
    <mergeCell ref="E116:F116"/>
    <mergeCell ref="E117:F117"/>
    <mergeCell ref="E118:F118"/>
    <mergeCell ref="E204:F204"/>
    <mergeCell ref="E213:F213"/>
    <mergeCell ref="E159:F159"/>
    <mergeCell ref="E160:F160"/>
    <mergeCell ref="E161:F161"/>
    <mergeCell ref="E162:F162"/>
    <mergeCell ref="E163:F163"/>
    <mergeCell ref="E164:F164"/>
    <mergeCell ref="E165:F165"/>
    <mergeCell ref="E166:F166"/>
    <mergeCell ref="E167:F167"/>
    <mergeCell ref="E168:F168"/>
    <mergeCell ref="E195:F195"/>
    <mergeCell ref="E196:F196"/>
    <mergeCell ref="E197:F197"/>
    <mergeCell ref="E198:F198"/>
    <mergeCell ref="E199:F199"/>
    <mergeCell ref="E200:F200"/>
    <mergeCell ref="E201:F201"/>
    <mergeCell ref="E202:F202"/>
    <mergeCell ref="E203:F203"/>
    <mergeCell ref="E188:F188"/>
    <mergeCell ref="E189:F189"/>
    <mergeCell ref="E190:F190"/>
    <mergeCell ref="E225:F225"/>
    <mergeCell ref="E226:F226"/>
    <mergeCell ref="E227:F227"/>
    <mergeCell ref="E228:F228"/>
    <mergeCell ref="E207:F207"/>
    <mergeCell ref="E208:F208"/>
    <mergeCell ref="E209:F209"/>
    <mergeCell ref="E210:F210"/>
    <mergeCell ref="E211:F211"/>
    <mergeCell ref="E212:F212"/>
    <mergeCell ref="E219:F219"/>
    <mergeCell ref="E220:F220"/>
    <mergeCell ref="E221:F221"/>
    <mergeCell ref="E222:F222"/>
    <mergeCell ref="E223:F223"/>
    <mergeCell ref="E224:F224"/>
    <mergeCell ref="E214:F214"/>
    <mergeCell ref="E215:F215"/>
    <mergeCell ref="E216:F216"/>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28:F128"/>
    <mergeCell ref="E129:F129"/>
    <mergeCell ref="E130:F130"/>
    <mergeCell ref="E131:F131"/>
    <mergeCell ref="E132:F132"/>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75:F75"/>
    <mergeCell ref="E76:F76"/>
    <mergeCell ref="E77:F77"/>
    <mergeCell ref="E78:F78"/>
    <mergeCell ref="E79:F79"/>
    <mergeCell ref="E80:F80"/>
    <mergeCell ref="E81:F81"/>
    <mergeCell ref="E82:F82"/>
    <mergeCell ref="E83:F83"/>
    <mergeCell ref="E84:F84"/>
    <mergeCell ref="E72:F72"/>
    <mergeCell ref="E63:F63"/>
    <mergeCell ref="E64:F64"/>
    <mergeCell ref="E65:F65"/>
    <mergeCell ref="E66:F66"/>
    <mergeCell ref="E67:F67"/>
    <mergeCell ref="E68:F68"/>
    <mergeCell ref="E69:F69"/>
    <mergeCell ref="E70:F70"/>
    <mergeCell ref="E71:F71"/>
  </mergeCells>
  <phoneticPr fontId="0" type="noConversion"/>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28 B216 B204 B192 B180 B168 B156 B144 B132 B120 B108 B96 B84 B72 B60 B48 B36 B24 B12">
      <formula1>0</formula1>
      <formula2>60</formula2>
    </dataValidation>
    <dataValidation type="list" allowBlank="1" showInputMessage="1" showErrorMessage="1" sqref="A220:A227 A208:A215 A196:A203 A184:A191 A172:A179 A160:A167 A148:A155 A136:A143 A124:A131 A112:A119 A100:A107 A88:A95 A76:A83 A64:A71 A52:A59 A40:A47 A28:A35 A16:A23 A4:A11">
      <formula1>ListeTaches</formula1>
    </dataValidation>
  </dataValidations>
  <hyperlinks>
    <hyperlink ref="E148" r:id="rId1"/>
    <hyperlink ref="E136" r:id="rId2"/>
    <hyperlink ref="E124" r:id="rId3"/>
    <hyperlink ref="E112" r:id="rId4"/>
    <hyperlink ref="E113" r:id="rId5"/>
    <hyperlink ref="E114" r:id="rId6"/>
    <hyperlink ref="E125" r:id="rId7"/>
    <hyperlink ref="E208" r:id="rId8"/>
    <hyperlink ref="E196" r:id="rId9"/>
    <hyperlink ref="E100" r:id="rId10"/>
    <hyperlink ref="E88" r:id="rId11"/>
    <hyperlink ref="E89" r:id="rId12"/>
    <hyperlink ref="E90" r:id="rId13"/>
    <hyperlink ref="E64" r:id="rId14"/>
    <hyperlink ref="E65" r:id="rId15"/>
    <hyperlink ref="E52" r:id="rId16"/>
    <hyperlink ref="E53" r:id="rId17"/>
    <hyperlink ref="E54" r:id="rId18"/>
    <hyperlink ref="E40" r:id="rId19"/>
    <hyperlink ref="E28" r:id="rId20"/>
    <hyperlink ref="E29" r:id="rId21"/>
    <hyperlink ref="E30" r:id="rId22" location=":~:text=The%20ItemDisplayBinding%20property%20is%20of%20a%20BindingBase%20type%2C,determines%20what%20actually%20gets%20displayed%20within%20the%20Picker."/>
    <hyperlink ref="E16" r:id="rId23"/>
    <hyperlink ref="E17" r:id="rId24"/>
    <hyperlink ref="E18" r:id="rId25" location=":~:text=SfListView.LoadMoreCommand%20executes%20when%20the%20listview%20is%20empty.%20This,is%20the%20default%20behavior%20of%20Manual%20and%20Auto."/>
    <hyperlink ref="E19" r:id="rId26"/>
    <hyperlink ref="E20" r:id="rId27"/>
    <hyperlink ref="E4" r:id="rId28"/>
    <hyperlink ref="E5" r:id="rId29"/>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0"/>
  <headerFooter alignWithMargins="0">
    <oddHeader>&amp;L&amp;"ETML,Normal"&amp;14ETML&amp;R&amp;14&amp;USection Informatique</oddHeader>
    <oddFooter>&amp;L&amp;14&amp;D - GGZ&amp;C&amp;14&amp;F - &amp;A&amp;R&amp;14&amp;P/&amp;N</oddFooter>
  </headerFooter>
  <drawing r:id="rId31"/>
  <legacyDrawing r:id="rId32"/>
  <controls>
    <mc:AlternateContent xmlns:mc="http://schemas.openxmlformats.org/markup-compatibility/2006">
      <mc:Choice Requires="x14">
        <control shapeId="9224" r:id="rId33" name="btnRapatriementJournal">
          <controlPr defaultSize="0" autoLine="0" r:id="rId34">
            <anchor moveWithCells="1">
              <from>
                <xdr:col>0</xdr:col>
                <xdr:colOff>104775</xdr:colOff>
                <xdr:row>0</xdr:row>
                <xdr:rowOff>85725</xdr:rowOff>
              </from>
              <to>
                <xdr:col>1</xdr:col>
                <xdr:colOff>457200</xdr:colOff>
                <xdr:row>0</xdr:row>
                <xdr:rowOff>552450</xdr:rowOff>
              </to>
            </anchor>
          </controlPr>
        </control>
      </mc:Choice>
      <mc:Fallback>
        <control shapeId="9224" r:id="rId33" name="btnRapatriementJournal"/>
      </mc:Fallback>
    </mc:AlternateContent>
    <mc:AlternateContent xmlns:mc="http://schemas.openxmlformats.org/markup-compatibility/2006">
      <mc:Choice Requires="x14">
        <control shapeId="9220" r:id="rId35" name="btnAjoutSeqJournal">
          <controlPr defaultSize="0" autoLine="0" r:id="rId36">
            <anchor moveWithCells="1">
              <from>
                <xdr:col>2</xdr:col>
                <xdr:colOff>85725</xdr:colOff>
                <xdr:row>0</xdr:row>
                <xdr:rowOff>85725</xdr:rowOff>
              </from>
              <to>
                <xdr:col>3</xdr:col>
                <xdr:colOff>914400</xdr:colOff>
                <xdr:row>0</xdr:row>
                <xdr:rowOff>561975</xdr:rowOff>
              </to>
            </anchor>
          </controlPr>
        </control>
      </mc:Choice>
      <mc:Fallback>
        <control shapeId="9220" r:id="rId3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195" t="s">
        <v>10</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7" t="s">
        <v>12</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2022-05-19T14:30:11Z</dcterms:modified>
</cp:coreProperties>
</file>